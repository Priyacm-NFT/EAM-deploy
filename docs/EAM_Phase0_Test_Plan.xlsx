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Test Plan Summary" sheetId="1" state="visible" r:id="rId3"/>
    <sheet name="🔐 P0-1 Identity" sheetId="2" state="visible" r:id="rId4"/>
    <sheet name="⚙️ P0-2 Config Engine" sheetId="3" state="visible" r:id="rId5"/>
    <sheet name="🔄 P0-3 Workflow" sheetId="4" state="visible" r:id="rId6"/>
    <sheet name="🔌 P0-4 Integration" sheetId="5" state="visible" r:id="rId7"/>
    <sheet name="📎 P0-5 Attachments" sheetId="6" state="visible" r:id="rId8"/>
    <sheet name="📊 P0-6 Reporting" sheetId="7" state="visible" r:id="rId9"/>
    <sheet name="🖥️ P0-7 Dashboard" sheetId="8" state="visible" r:id="rId10"/>
    <sheet name="📧 P0-8 Notifications" sheetId="9" state="visible" r:id="rId11"/>
    <sheet name="🧩 Integration Sprint" sheetId="10" state="visible" r:id="rId12"/>
    <sheet name="🐛 Defect Lo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<sst xmlns="http://schemas.openxmlformats.org/spreadsheetml/2006/main" count="1723" uniqueCount="972">
  <si>
    <t xml:space="preserve">EAM Platform — Phase 0 Foundations
Test Plan &amp; Execution Tracker</t>
  </si>
  <si>
    <t xml:space="preserve">Project</t>
  </si>
  <si>
    <t xml:space="preserve">Enterprise Asset Management (EAM) Web Application</t>
  </si>
  <si>
    <t xml:space="preserve">Phase</t>
  </si>
  <si>
    <t xml:space="preserve">Phase 0 — Foundations</t>
  </si>
  <si>
    <t xml:space="preserve">Document</t>
  </si>
  <si>
    <t xml:space="preserve">Test Plan v1.0</t>
  </si>
  <si>
    <t xml:space="preserve">Prepared by</t>
  </si>
  <si>
    <t xml:space="preserve">QA Team</t>
  </si>
  <si>
    <t xml:space="preserve">Date</t>
  </si>
  <si>
    <t xml:space="preserve">23 May 2026</t>
  </si>
  <si>
    <t xml:space="preserve">Total Tests</t>
  </si>
  <si>
    <t xml:space="preserve">Status Legend</t>
  </si>
  <si>
    <t xml:space="preserve">⬜ NOT RUN</t>
  </si>
  <si>
    <t xml:space="preserve">✅ PASS</t>
  </si>
  <si>
    <t xml:space="preserve">❌ FAIL</t>
  </si>
  <si>
    <t xml:space="preserve">⏭️ SKIP</t>
  </si>
  <si>
    <t xml:space="preserve">🔄 IN PROGRESS</t>
  </si>
  <si>
    <t xml:space="preserve">🚫 BLOCKED</t>
  </si>
  <si>
    <t xml:space="preserve">Workstream</t>
  </si>
  <si>
    <t xml:space="preserve">Ref</t>
  </si>
  <si>
    <t xml:space="preserve">Pass</t>
  </si>
  <si>
    <t xml:space="preserve">Fail</t>
  </si>
  <si>
    <t xml:space="preserve">Skip</t>
  </si>
  <si>
    <t xml:space="preserve">Not Run</t>
  </si>
  <si>
    <t xml:space="preserve">Pass %</t>
  </si>
  <si>
    <t xml:space="preserve">Status</t>
  </si>
  <si>
    <t xml:space="preserve">P0-1 User Management &amp; Identity</t>
  </si>
  <si>
    <t xml:space="preserve">P0-1</t>
  </si>
  <si>
    <t xml:space="preserve">P0-2 Application Configuration Engine</t>
  </si>
  <si>
    <t xml:space="preserve">P0-2</t>
  </si>
  <si>
    <t xml:space="preserve">P0-3 Schema Extension &amp; Workflow Builder</t>
  </si>
  <si>
    <t xml:space="preserve">P0-3</t>
  </si>
  <si>
    <t xml:space="preserve">P0-4 Integration Framework</t>
  </si>
  <si>
    <t xml:space="preserve">P0-4</t>
  </si>
  <si>
    <t xml:space="preserve">P0-5 Attachment Service + Virus Scan</t>
  </si>
  <si>
    <t xml:space="preserve">P0-5</t>
  </si>
  <si>
    <t xml:space="preserve">P0-6 Reporting Engine &amp; BI Adapters</t>
  </si>
  <si>
    <t xml:space="preserve">P0-6</t>
  </si>
  <si>
    <t xml:space="preserve">P0-7 Dashboard &amp; Collaboration</t>
  </si>
  <si>
    <t xml:space="preserve">P0-7</t>
  </si>
  <si>
    <t xml:space="preserve">P0-8 Email Notification Framework</t>
  </si>
  <si>
    <t xml:space="preserve">P0-8</t>
  </si>
  <si>
    <t xml:space="preserve">Integration Sprint</t>
  </si>
  <si>
    <t xml:space="preserve">INT</t>
  </si>
  <si>
    <t xml:space="preserve">TOTALS</t>
  </si>
  <si>
    <t xml:space="preserve">EAM Phase 0 — P0-1 User Management &amp; Identity  |  Test Cases</t>
  </si>
  <si>
    <t xml:space="preserve">Workstream: P0-1  •  Pass: =COUNTIF(G5:G5000,"✅ PASS")  |  Fail: =COUNTIF(G5:G5000,"❌ FAIL")  |  Total: =COUNTA(B5:B5000)</t>
  </si>
  <si>
    <t xml:space="preserve">#</t>
  </si>
  <si>
    <t xml:space="preserve">Test ID</t>
  </si>
  <si>
    <t xml:space="preserve">Category</t>
  </si>
  <si>
    <t xml:space="preserve">Type</t>
  </si>
  <si>
    <t xml:space="preserve">Priority</t>
  </si>
  <si>
    <t xml:space="preserve">Test Title</t>
  </si>
  <si>
    <t xml:space="preserve">Preconditions</t>
  </si>
  <si>
    <t xml:space="preserve">Test Steps</t>
  </si>
  <si>
    <t xml:space="preserve">Expected Result</t>
  </si>
  <si>
    <t xml:space="preserve">Actual Result</t>
  </si>
  <si>
    <t xml:space="preserve">Tester</t>
  </si>
  <si>
    <t xml:space="preserve">Date Tested</t>
  </si>
  <si>
    <t xml:space="preserve">Notes / Defect Ref</t>
  </si>
  <si>
    <t xml:space="preserve">  Local Authentication</t>
  </si>
  <si>
    <t xml:space="preserve">P0-1-U-001</t>
  </si>
  <si>
    <t xml:space="preserve">Local Authentication</t>
  </si>
  <si>
    <t xml:space="preserve">Unit</t>
  </si>
  <si>
    <t xml:space="preserve">P1-Critical</t>
  </si>
  <si>
    <t xml:space="preserve">Password hashing uses Argon2id</t>
  </si>
  <si>
    <t xml:space="preserve">packages/auth installed</t>
  </si>
  <si>
    <t xml:space="preserve">1. Call hashPassword('Test@1234')
2. Call verifyPassword('Test@1234', hash)</t>
  </si>
  <si>
    <t xml:space="preserve">Hash produced; verify returns true; plain text not stored</t>
  </si>
  <si>
    <t xml:space="preserve">P0-1-U-002</t>
  </si>
  <si>
    <t xml:space="preserve">Password policy enforcement — min length</t>
  </si>
  <si>
    <t xml:space="preserve">Policy: minLength=10</t>
  </si>
  <si>
    <t xml:space="preserve">1. Attempt register with password 'Short1!'</t>
  </si>
  <si>
    <t xml:space="preserve">Validation error returned; user not created</t>
  </si>
  <si>
    <t xml:space="preserve">P0-1-U-003</t>
  </si>
  <si>
    <t xml:space="preserve">Password policy — complexity rules</t>
  </si>
  <si>
    <t xml:space="preserve">Policy: requireUppercase, requireNumber, requireSpecial</t>
  </si>
  <si>
    <t xml:space="preserve">1. Try 'alllowercase1!'
2. Try 'NoNumber!!'
3. Try 'Valid@Pass1'</t>
  </si>
  <si>
    <t xml:space="preserve">First two rejected with specific error; third accepted</t>
  </si>
  <si>
    <t xml:space="preserve">P0-1-U-004</t>
  </si>
  <si>
    <t xml:space="preserve">P2-High</t>
  </si>
  <si>
    <t xml:space="preserve">Account lockout after N failed logins</t>
  </si>
  <si>
    <t xml:space="preserve">lockoutAfterFailures=5</t>
  </si>
  <si>
    <t xml:space="preserve">1. POST /auth/login with wrong password 5 times
2. Try correct password on 6th attempt</t>
  </si>
  <si>
    <t xml:space="preserve">6th attempt returns 429 with lockout_until timestamp</t>
  </si>
  <si>
    <t xml:space="preserve">P0-1-I-005</t>
  </si>
  <si>
    <t xml:space="preserve">Integration</t>
  </si>
  <si>
    <t xml:space="preserve">Full register → login → refresh → logout cycle</t>
  </si>
  <si>
    <t xml:space="preserve">Postgres running via Testcontainers</t>
  </si>
  <si>
    <t xml:space="preserve">1. POST /auth/register
2. POST /auth/login
3. POST /auth/refresh
4. POST /auth/logout
5. GET /auth/me with old token</t>
  </si>
  <si>
    <t xml:space="preserve">Each step returns correct response; step 5 returns 401</t>
  </si>
  <si>
    <t xml:space="preserve">P0-1-I-006</t>
  </si>
  <si>
    <t xml:space="preserve">Refresh token rotation — old token invalidated</t>
  </si>
  <si>
    <t xml:space="preserve">Valid session exists</t>
  </si>
  <si>
    <t xml:space="preserve">1. POST /auth/refresh → get new token pair
2. POST /auth/refresh with OLD refresh token</t>
  </si>
  <si>
    <t xml:space="preserve">Step 2 returns 401; old token is revoked</t>
  </si>
  <si>
    <t xml:space="preserve">P0-1-I-007</t>
  </si>
  <si>
    <t xml:space="preserve">Password reset flow end-to-end</t>
  </si>
  <si>
    <t xml:space="preserve">SMTP mock (Mailhog) configured</t>
  </si>
  <si>
    <t xml:space="preserve">1. POST /auth/password/reset-request
2. Extract token from email
3. POST /auth/password/reset
4. Login with new password</t>
  </si>
  <si>
    <t xml:space="preserve">Login succeeds with new password; old password rejected</t>
  </si>
  <si>
    <t xml:space="preserve">  Multi-Factor Authentication</t>
  </si>
  <si>
    <t xml:space="preserve">P0-1-M-001</t>
  </si>
  <si>
    <t xml:space="preserve">Multi-Factor Authentication</t>
  </si>
  <si>
    <t xml:space="preserve">TOTP setup — QR code + verify</t>
  </si>
  <si>
    <t xml:space="preserve">User logged in</t>
  </si>
  <si>
    <t xml:space="preserve">1. POST /auth/mfa/setup
2. Generate TOTP code from secret
3. POST /auth/mfa/verify-setup with code</t>
  </si>
  <si>
    <t xml:space="preserve">users.mfa_enabled=true; 10 recovery codes returned (plaintext, once)</t>
  </si>
  <si>
    <t xml:space="preserve">P0-1-M-002</t>
  </si>
  <si>
    <t xml:space="preserve">MFA login challenge flow</t>
  </si>
  <si>
    <t xml:space="preserve">User has MFA enabled</t>
  </si>
  <si>
    <t xml:space="preserve">1. POST /auth/login → expect {mfa_required:true, mfa_session_token}
2. Generate TOTP code
3. POST /auth/mfa/challenge with code + session token</t>
  </si>
  <si>
    <t xml:space="preserve">Step 3 returns full JWT pair; mfa_verified=true in JWT claims</t>
  </si>
  <si>
    <t xml:space="preserve">P0-1-M-003</t>
  </si>
  <si>
    <t xml:space="preserve">MFA recovery code usage</t>
  </si>
  <si>
    <t xml:space="preserve">User has MFA enabled; has recovery codes</t>
  </si>
  <si>
    <t xml:space="preserve">1. POST /auth/mfa/challenge with valid recovery_code instead of TOTP</t>
  </si>
  <si>
    <t xml:space="preserve">Login succeeds; used recovery code marked used_at; cannot be reused</t>
  </si>
  <si>
    <t xml:space="preserve">P0-1-M-004</t>
  </si>
  <si>
    <t xml:space="preserve">Per-role MFA enforcement</t>
  </si>
  <si>
    <t xml:space="preserve">Role 'Admin' has require_mfa=true; user in Admin role without MFA enabled</t>
  </si>
  <si>
    <t xml:space="preserve">1. User completes password login (no MFA)
2. Access admin-only endpoint</t>
  </si>
  <si>
    <t xml:space="preserve">Step 2 returns 401 with error code MFA_REQUIRED</t>
  </si>
  <si>
    <t xml:space="preserve">P0-1-M-005</t>
  </si>
  <si>
    <t xml:space="preserve">P3-Medium</t>
  </si>
  <si>
    <t xml:space="preserve">MFA secret encrypted at rest</t>
  </si>
  <si>
    <t xml:space="preserve">1. Query users table directly for mfa_secret column</t>
  </si>
  <si>
    <t xml:space="preserve">Value is encrypted ciphertext; not plain TOTP secret</t>
  </si>
  <si>
    <t xml:space="preserve">  AD / LDAP Synchronisation</t>
  </si>
  <si>
    <t xml:space="preserve">P0-1-L-001</t>
  </si>
  <si>
    <t xml:space="preserve">AD / LDAP Synchronisation</t>
  </si>
  <si>
    <t xml:space="preserve">LDAP user sync creates EAM user</t>
  </si>
  <si>
    <t xml:space="preserve">Mock LDAP server running; identity provider configured</t>
  </si>
  <si>
    <t xml:space="preserve">1. Trigger POST /admin/identity-providers/:id/sync
2. Query /admin/users</t>
  </si>
  <si>
    <t xml:space="preserve">User from LDAP appears in EAM; auth_source=LDAP; attributes mapped correctly</t>
  </si>
  <si>
    <t xml:space="preserve">P0-1-L-002</t>
  </si>
  <si>
    <t xml:space="preserve">LDAP group membership synced</t>
  </si>
  <si>
    <t xml:space="preserve">Mock LDAP has group 'EAM-Supervisors' with test user</t>
  </si>
  <si>
    <t xml:space="preserve">1. Trigger sync
2. GET /admin/groups</t>
  </si>
  <si>
    <t xml:space="preserve">Group created in EAM; user is member; group can be assigned EAM role</t>
  </si>
  <si>
    <t xml:space="preserve">P0-1-L-003</t>
  </si>
  <si>
    <t xml:space="preserve">Delta sync — only changed records fetched</t>
  </si>
  <si>
    <t xml:space="preserve">Full sync completed; one user modified in LDAP</t>
  </si>
  <si>
    <t xml:space="preserve">1. Modify user attribute in mock LDAP
2. Trigger sync
3. Check audit log</t>
  </si>
  <si>
    <t xml:space="preserve">Sync log shows 1 updated (not all users); modifyTimestamp used correctly</t>
  </si>
  <si>
    <t xml:space="preserve">P0-1-L-004</t>
  </si>
  <si>
    <t xml:space="preserve">Deactivated LDAP user disabled in EAM</t>
  </si>
  <si>
    <t xml:space="preserve">User exists in EAM from previous sync</t>
  </si>
  <si>
    <t xml:space="preserve">1. Remove user from LDAP
2. Trigger sync
3. Attempt login as that user</t>
  </si>
  <si>
    <t xml:space="preserve">User.is_active=false; login returns 403</t>
  </si>
  <si>
    <t xml:space="preserve">P0-1-L-005</t>
  </si>
  <si>
    <t xml:space="preserve">LDAP sync audit log records outcome</t>
  </si>
  <si>
    <t xml:space="preserve">After a sync with 3 adds, 1 update</t>
  </si>
  <si>
    <t xml:space="preserve">1. Check audit_logs table after sync</t>
  </si>
  <si>
    <t xml:space="preserve">Entry with action=LDAP_SYNC, metadata.added=3, metadata.updated=1</t>
  </si>
  <si>
    <t xml:space="preserve">  SSO — SAML 2.0 &amp; OIDC</t>
  </si>
  <si>
    <t xml:space="preserve">P0-1-S-001</t>
  </si>
  <si>
    <t xml:space="preserve">SSO — SAML 2.0 &amp; OIDC</t>
  </si>
  <si>
    <t xml:space="preserve">E2E</t>
  </si>
  <si>
    <t xml:space="preserve">SAML 2.0 SP-initiated login</t>
  </si>
  <si>
    <t xml:space="preserve">Mock SAML IdP running; provider configured in EAM</t>
  </si>
  <si>
    <t xml:space="preserve">1. Navigate to /auth/saml/:id/login
2. Complete mock IdP flow
3. Callback to EAM</t>
  </si>
  <si>
    <t xml:space="preserve">User upserted in EAM; JWT session issued; auth_source=SAML</t>
  </si>
  <si>
    <t xml:space="preserve">P0-1-S-002</t>
  </si>
  <si>
    <t xml:space="preserve">OIDC login with PKCE against mock IdP</t>
  </si>
  <si>
    <t xml:space="preserve">OIDC provider configured with discovery URL</t>
  </si>
  <si>
    <t xml:space="preserve">1. Navigate to /auth/oidc/:id/login
2. Complete OIDC flow
3. Callback</t>
  </si>
  <si>
    <t xml:space="preserve">Tokens exchanged; user info fetched; EAM session issued</t>
  </si>
  <si>
    <t xml:space="preserve">P0-1-S-003</t>
  </si>
  <si>
    <t xml:space="preserve">SSO claim mapping — groups auto-assigned</t>
  </si>
  <si>
    <t xml:space="preserve">SAML response includes group attribute 'EAM-Admins'</t>
  </si>
  <si>
    <t xml:space="preserve">1. Login via SAML
2. Check user's groups in EAM</t>
  </si>
  <si>
    <t xml:space="preserve">User added to EAM group 'EAM-Admins' automatically</t>
  </si>
  <si>
    <t xml:space="preserve">P0-1-S-004</t>
  </si>
  <si>
    <t xml:space="preserve">API</t>
  </si>
  <si>
    <t xml:space="preserve">Admin can disable SSO provider</t>
  </si>
  <si>
    <t xml:space="preserve">Active SSO provider exists</t>
  </si>
  <si>
    <t xml:space="preserve">1. PUT /admin/identity-providers/:id {is_active:false}
2. Try SSO login</t>
  </si>
  <si>
    <t xml:space="preserve">SSO login redirects with error; local auth still works</t>
  </si>
  <si>
    <t xml:space="preserve">  RBAC &amp; User Admin</t>
  </si>
  <si>
    <t xml:space="preserve">P0-1-R-001</t>
  </si>
  <si>
    <t xml:space="preserve">RBAC &amp; User Admin</t>
  </si>
  <si>
    <t xml:space="preserve">Role assignment grants permissions</t>
  </si>
  <si>
    <t xml:space="preserve">User without any role</t>
  </si>
  <si>
    <t xml:space="preserve">1. Create role with permission 'workorders:read'
2. Assign role to user
3. Access GET /workorders</t>
  </si>
  <si>
    <t xml:space="preserve">Access granted immediately (within same session via token refresh)</t>
  </si>
  <si>
    <t xml:space="preserve">P0-1-R-002</t>
  </si>
  <si>
    <t xml:space="preserve">Effective permissions — union of multiple roles</t>
  </si>
  <si>
    <t xml:space="preserve">User has Role A (read) and Role B (write)</t>
  </si>
  <si>
    <t xml:space="preserve">1. GET /admin/users/:id/effective-permissions</t>
  </si>
  <si>
    <t xml:space="preserve">Result includes both read and write permissions</t>
  </si>
  <si>
    <t xml:space="preserve">P0-1-R-003</t>
  </si>
  <si>
    <t xml:space="preserve">Admin deactivates user — all sessions invalidated</t>
  </si>
  <si>
    <t xml:space="preserve">User has 2 active sessions</t>
  </si>
  <si>
    <t xml:space="preserve">1. PUT /admin/users/:id {is_active:false}
2. Make request with both tokens</t>
  </si>
  <si>
    <t xml:space="preserve">Both tokens return 401</t>
  </si>
  <si>
    <t xml:space="preserve">P0-1-R-004</t>
  </si>
  <si>
    <t xml:space="preserve">Security</t>
  </si>
  <si>
    <t xml:space="preserve">Impersonation is audit logged</t>
  </si>
  <si>
    <t xml:space="preserve">Admin user with impersonate permission</t>
  </si>
  <si>
    <t xml:space="preserve">1. POST /admin/users/:id/impersonate
2. Perform an action
3. Check audit_logs</t>
  </si>
  <si>
    <t xml:space="preserve">audit_logs shows original_admin_id and impersonated_user_id on every action</t>
  </si>
  <si>
    <t xml:space="preserve">P0-1-R-005</t>
  </si>
  <si>
    <t xml:space="preserve">Group-based role inheritance</t>
  </si>
  <si>
    <t xml:space="preserve">Group assigned role 'Technician'</t>
  </si>
  <si>
    <t xml:space="preserve">1. Add user to group
2. Check user's effective permissions</t>
  </si>
  <si>
    <t xml:space="preserve">User inherits all permissions from 'Technician' role via group</t>
  </si>
  <si>
    <t xml:space="preserve">EAM Phase 0 — P0-2 Application Configuration Engine  |  Test Cases</t>
  </si>
  <si>
    <t xml:space="preserve">Workstream: P0-2  •  Pass: =COUNTIF(G5:G5000,"✅ PASS")  |  Fail: =COUNTIF(G5:G5000,"❌ FAIL")  |  Total: =COUNTA(B5:B5000)</t>
  </si>
  <si>
    <t xml:space="preserve">  Field Management</t>
  </si>
  <si>
    <t xml:space="preserve">P0-2-F-001</t>
  </si>
  <si>
    <t xml:space="preserve">Field Management</t>
  </si>
  <si>
    <t xml:space="preserve">Add custom text field to Asset entity</t>
  </si>
  <si>
    <t xml:space="preserve">Admin auth token; Asset entity exists</t>
  </si>
  <si>
    <t xml:space="preserve">1. POST /admin/config/entities/Asset/fields {field_key:'asset_tag', field_type:'TEXT', is_required_global:true}
2. GET /admin/config/entities/Asset/fields</t>
  </si>
  <si>
    <t xml:space="preserve">Field returned in list; column custom__asset_tag exists in assets table</t>
  </si>
  <si>
    <t xml:space="preserve">P0-2-F-002</t>
  </si>
  <si>
    <t xml:space="preserve">Custom field persists data correctly</t>
  </si>
  <si>
    <t xml:space="preserve">asset_tag field created</t>
  </si>
  <si>
    <t xml:space="preserve">1. POST /assets {asset_tag:'EQ-001', ...other required fields}
2. GET /assets/:id</t>
  </si>
  <si>
    <t xml:space="preserve">asset_tag value 'EQ-001' returned in response</t>
  </si>
  <si>
    <t xml:space="preserve">P0-2-F-003</t>
  </si>
  <si>
    <t xml:space="preserve">All field types can be created</t>
  </si>
  <si>
    <t xml:space="preserve">Asset entity</t>
  </si>
  <si>
    <t xml:space="preserve">Create one field of each type: TEXT, NUMBER, DATE, DATETIME, BOOLEAN, PICKLIST, LOOKUP, ATTACHMENT</t>
  </si>
  <si>
    <t xml:space="preserve">All fields created; each stores and retrieves correct data type</t>
  </si>
  <si>
    <t xml:space="preserve">P0-2-F-004</t>
  </si>
  <si>
    <t xml:space="preserve">Field deactivation hides field from UI (not deleted)</t>
  </si>
  <si>
    <t xml:space="preserve">Custom field exists with data</t>
  </si>
  <si>
    <t xml:space="preserve">1. PATCH field {is_active:false}
2. GET form layout</t>
  </si>
  <si>
    <t xml:space="preserve">Field absent from form; column still in DB; data preserved</t>
  </si>
  <si>
    <t xml:space="preserve">  Server-Side Validation</t>
  </si>
  <si>
    <t xml:space="preserve">P0-2-V-001</t>
  </si>
  <si>
    <t xml:space="preserve">Server-Side Validation</t>
  </si>
  <si>
    <t xml:space="preserve">Global required field blocks save at API level</t>
  </si>
  <si>
    <t xml:space="preserve">asset_tag field has is_required_global=true</t>
  </si>
  <si>
    <t xml:space="preserve">1. POST /assets without asset_tag field</t>
  </si>
  <si>
    <t xml:space="preserve">422 returned with {field:'asset_tag', message:'Required'} — not just a UI warning</t>
  </si>
  <si>
    <t xml:space="preserve">P0-2-V-002</t>
  </si>
  <si>
    <t xml:space="preserve">Conditional required — field required only when condition met</t>
  </si>
  <si>
    <t xml:space="preserve">Field rule: asset_tag required when priority=CRITICAL</t>
  </si>
  <si>
    <t xml:space="preserve">1. POST /assets {priority:'HIGH'} — no asset_tag
2. POST /assets {priority:'CRITICAL'} — no asset_tag</t>
  </si>
  <si>
    <t xml:space="preserve">Step 1 succeeds; step 2 returns 422</t>
  </si>
  <si>
    <t xml:space="preserve">P0-2-V-003</t>
  </si>
  <si>
    <t xml:space="preserve">Regex validation on text field</t>
  </si>
  <si>
    <t xml:space="preserve">Field has validation_rules: {regex:'^EQ-[0-9]{3}$'}</t>
  </si>
  <si>
    <t xml:space="preserve">1. POST /assets {asset_tag:'WRONG'}
2. POST /assets {asset_tag:'EQ-001'}</t>
  </si>
  <si>
    <t xml:space="preserve">Step 1 returns 422 with regex error; step 2 succeeds</t>
  </si>
  <si>
    <t xml:space="preserve">P0-2-V-004</t>
  </si>
  <si>
    <t xml:space="preserve">Validation cannot be bypassed via API (front-end bypass attempt)</t>
  </si>
  <si>
    <t xml:space="preserve">Required field configured</t>
  </si>
  <si>
    <t xml:space="preserve">1. Make direct API call omitting required field (no front-end)</t>
  </si>
  <si>
    <t xml:space="preserve">Server returns 422; required field not optional at API level</t>
  </si>
  <si>
    <t xml:space="preserve">  Form Designer</t>
  </si>
  <si>
    <t xml:space="preserve">P0-2-D-001</t>
  </si>
  <si>
    <t xml:space="preserve">Form Designer</t>
  </si>
  <si>
    <t xml:space="preserve">Create 3-column form layout via designer</t>
  </si>
  <si>
    <t xml:space="preserve">Admin logged in; Form Designer page open</t>
  </si>
  <si>
    <t xml:space="preserve">1. Drag 3 fields into a row
2. Save layout
3. Open entity form as regular user</t>
  </si>
  <si>
    <t xml:space="preserve">Form renders 3 columns on desktop</t>
  </si>
  <si>
    <t xml:space="preserve">P0-2-D-002</t>
  </si>
  <si>
    <t xml:space="preserve">Form collapses to 1 column on phone viewport</t>
  </si>
  <si>
    <t xml:space="preserve">3-column layout saved</t>
  </si>
  <si>
    <t xml:space="preserve">1. Open entity form
2. Resize browser to 375px width</t>
  </si>
  <si>
    <t xml:space="preserve">Form shows 1 column; all fields still accessible</t>
  </si>
  <si>
    <t xml:space="preserve">P0-2-D-003</t>
  </si>
  <si>
    <t xml:space="preserve">Role-specific form variant</t>
  </si>
  <si>
    <t xml:space="preserve">Two roles: Technician, Manager</t>
  </si>
  <si>
    <t xml:space="preserve">1. Create separate layouts for each role
2. Login as each role</t>
  </si>
  <si>
    <t xml:space="preserve">Each role sees their configured layout; Technician does not see Manager-only fields</t>
  </si>
  <si>
    <t xml:space="preserve">P0-2-D-004</t>
  </si>
  <si>
    <t xml:space="preserve">Preview mode in designer shows correct breakpoints</t>
  </si>
  <si>
    <t xml:space="preserve">Admin in Form Designer</t>
  </si>
  <si>
    <t xml:space="preserve">1. Click Desktop / Tablet / Phone preview toggles</t>
  </si>
  <si>
    <t xml:space="preserve">Preview iframe renders correct column count for each breakpoint</t>
  </si>
  <si>
    <t xml:space="preserve">  Picklist Management</t>
  </si>
  <si>
    <t xml:space="preserve">P0-2-P-001</t>
  </si>
  <si>
    <t xml:space="preserve">Picklist Management</t>
  </si>
  <si>
    <t xml:space="preserve">Create cascading picklist (parent-child)</t>
  </si>
  <si>
    <t xml:space="preserve">Admin auth</t>
  </si>
  <si>
    <t xml:space="preserve">1. Create picklist 'AssetClass' with values [Mechanical, Electrical]
2. Create picklist 'AssetSubClass' with parent_value links
3. Filter by parent value</t>
  </si>
  <si>
    <t xml:space="preserve">Only child values of selected parent returned</t>
  </si>
  <si>
    <t xml:space="preserve">P0-2-P-002</t>
  </si>
  <si>
    <t xml:space="preserve">Per-org picklist override</t>
  </si>
  <si>
    <t xml:space="preserve">Multi-org tenant</t>
  </si>
  <si>
    <t xml:space="preserve">1. Global picklist has value 'Standard'
2. Create org-level override with extra value 'Custom'
3. Fetch picklist as Org A user</t>
  </si>
  <si>
    <t xml:space="preserve">Org A user sees both 'Standard' and 'Custom'; Org B user sees only 'Standard'</t>
  </si>
  <si>
    <t xml:space="preserve">P0-2-P-003</t>
  </si>
  <si>
    <t xml:space="preserve">Effective-date picklist value</t>
  </si>
  <si>
    <t xml:space="preserve">Picklist value with effective_to in the past</t>
  </si>
  <si>
    <t xml:space="preserve">1. Fetch picklist values</t>
  </si>
  <si>
    <t xml:space="preserve">Expired value not returned in active list; historical records still display it</t>
  </si>
  <si>
    <t xml:space="preserve">  Config Versioning &amp; Export/Import</t>
  </si>
  <si>
    <t xml:space="preserve">P0-2-CV-001</t>
  </si>
  <si>
    <t xml:space="preserve">Config Versioning &amp; Export/Import</t>
  </si>
  <si>
    <t xml:space="preserve">Config version created on field change</t>
  </si>
  <si>
    <t xml:space="preserve">Existing field definition</t>
  </si>
  <si>
    <t xml:space="preserve">1. PUT /admin/config/entities/Asset/fields/:id {label:'New Label'}
2. GET /admin/config/versions?entity=field_definition&amp;entityId=:id</t>
  </si>
  <si>
    <t xml:space="preserve">Version entry exists with old and new state snapshot</t>
  </si>
  <si>
    <t xml:space="preserve">P0-2-CV-002</t>
  </si>
  <si>
    <t xml:space="preserve">Rollback config version</t>
  </si>
  <si>
    <t xml:space="preserve">Version history with 2 versions</t>
  </si>
  <si>
    <t xml:space="preserve">1. POST /admin/config/versions/:v1id/rollback
2. GET field definition</t>
  </si>
  <si>
    <t xml:space="preserve">Field definition matches v1 snapshot; custom DB column unchanged</t>
  </si>
  <si>
    <t xml:space="preserve">P0-2-CV-003</t>
  </si>
  <si>
    <t xml:space="preserve">Export + import config JSON</t>
  </si>
  <si>
    <t xml:space="preserve">Dev environment with custom fields</t>
  </si>
  <si>
    <t xml:space="preserve">1. GET /admin/config/export?entities[]=Asset
2. POST /admin/config/import to clean Test env</t>
  </si>
  <si>
    <t xml:space="preserve">All field and form definitions present in Test; no errors</t>
  </si>
  <si>
    <t xml:space="preserve">P0-2-CV-004</t>
  </si>
  <si>
    <t xml:space="preserve">Import conflict detection</t>
  </si>
  <si>
    <t xml:space="preserve">Test env already has field 'asset_tag'</t>
  </si>
  <si>
    <t xml:space="preserve">1. Import config that also defines 'asset_tag' with different type</t>
  </si>
  <si>
    <t xml:space="preserve">Conflict flagged in import response; no silent overwrite</t>
  </si>
  <si>
    <t xml:space="preserve">EAM Phase 0 — P0-3 Schema Extension &amp; Workflow Builder  |  Test Cases</t>
  </si>
  <si>
    <t xml:space="preserve">Workstream: P0-3  •  Pass: =COUNTIF(G5:G5000,"✅ PASS")  |  Fail: =COUNTIF(G5:G5000,"❌ FAIL")  |  Total: =COUNTA(B5:B5000)</t>
  </si>
  <si>
    <t xml:space="preserve">  Schema Extension (DDL)</t>
  </si>
  <si>
    <t xml:space="preserve">P0-3-S-001</t>
  </si>
  <si>
    <t xml:space="preserve">Schema Extension (DDL)</t>
  </si>
  <si>
    <t xml:space="preserve">Add column via API — column exists in DB</t>
  </si>
  <si>
    <t xml:space="preserve">Asset table exists; Postgres running</t>
  </si>
  <si>
    <t xml:space="preserve">1. POST /admin/config/entities/Asset/fields (triggers DDL)
2. Query information_schema.columns for custom__new_field</t>
  </si>
  <si>
    <t xml:space="preserve">Column exists with correct type; migration logged as SUCCESS</t>
  </si>
  <si>
    <t xml:space="preserve">P0-3-S-002</t>
  </si>
  <si>
    <t xml:space="preserve">DDL is idempotent (IF NOT EXISTS)</t>
  </si>
  <si>
    <t xml:space="preserve">Custom column already exists</t>
  </si>
  <si>
    <t xml:space="preserve">1. Call addColumn for same field again</t>
  </si>
  <si>
    <t xml:space="preserve">No error; no duplicate column; migration log shows SKIPPED or SUCCESS</t>
  </si>
  <si>
    <t xml:space="preserve">P0-3-S-003</t>
  </si>
  <si>
    <t xml:space="preserve">Advisory lock prevents concurrent DDL on same table</t>
  </si>
  <si>
    <t xml:space="preserve">Two concurrent addColumn requests for 'assets' table</t>
  </si>
  <si>
    <t xml:space="preserve">1. Fire 2 simultaneous addColumn requests
2. Check schema_migrations</t>
  </si>
  <si>
    <t xml:space="preserve">Both succeed eventually; no corruption; lock contention handled gracefully</t>
  </si>
  <si>
    <t xml:space="preserve">P0-3-S-004</t>
  </si>
  <si>
    <t xml:space="preserve">Index created for searchable field</t>
  </si>
  <si>
    <t xml:space="preserve">Field created with is_searchable=true</t>
  </si>
  <si>
    <t xml:space="preserve">1. Query pg_indexes for custom__field_name on assets table</t>
  </si>
  <si>
    <t xml:space="preserve">Index exists; created with CONCURRENTLY (non-blocking)</t>
  </si>
  <si>
    <t xml:space="preserve">P0-3-S-005</t>
  </si>
  <si>
    <t xml:space="preserve">Soft-drop renames column with _deleted_ prefix</t>
  </si>
  <si>
    <t xml:space="preserve">Custom column exists</t>
  </si>
  <si>
    <t xml:space="preserve">1. DELETE /admin/config/entities/Asset/fields/:id
2. Check column name in DB</t>
  </si>
  <si>
    <t xml:space="preserve">Column renamed to custom___deleted__field_name; data preserved</t>
  </si>
  <si>
    <t xml:space="preserve">  Workflow Engine — Node Types</t>
  </si>
  <si>
    <t xml:space="preserve">P0-3-W-001</t>
  </si>
  <si>
    <t xml:space="preserve">Workflow Engine — Node Types</t>
  </si>
  <si>
    <t xml:space="preserve">DECISION node — correct branch on SQL condition</t>
  </si>
  <si>
    <t xml:space="preserve">WorkflowEngine unit test</t>
  </si>
  <si>
    <t xml:space="preserve">1. Create workflow: START → DECISION (totalcost&gt;100000 → Finance path, else → Manager path) → END
2. Run with context {totalcost:150000}</t>
  </si>
  <si>
    <t xml:space="preserve">Finance path taken</t>
  </si>
  <si>
    <t xml:space="preserve">P0-3-W-002</t>
  </si>
  <si>
    <t xml:space="preserve">DECISION node — alternate branch</t>
  </si>
  <si>
    <t xml:space="preserve">Same workflow</t>
  </si>
  <si>
    <t xml:space="preserve">1. Run with context {totalcost:80000}</t>
  </si>
  <si>
    <t xml:space="preserve">Manager path taken</t>
  </si>
  <si>
    <t xml:space="preserve">P0-3-W-003</t>
  </si>
  <si>
    <t xml:space="preserve">TASK node creates workflow_task record</t>
  </si>
  <si>
    <t xml:space="preserve">Workflow with TASK node assigned to role 'Supervisor'</t>
  </si>
  <si>
    <t xml:space="preserve">1. Start workflow instance
2. Query workflow_tasks</t>
  </si>
  <si>
    <t xml:space="preserve">Task record in PENDING status; assigned_to_role='Supervisor'</t>
  </si>
  <si>
    <t xml:space="preserve">P0-3-W-004</t>
  </si>
  <si>
    <t xml:space="preserve">APPROVAL node — approve action advances workflow</t>
  </si>
  <si>
    <t xml:space="preserve">Task in PENDING state</t>
  </si>
  <si>
    <t xml:space="preserve">1. Call advanceTask(taskId, userId, 'APPROVE', 'Looks good')
2. Check instance state</t>
  </si>
  <si>
    <t xml:space="preserve">Task status=COMPLETED; next node activated; history entry recorded</t>
  </si>
  <si>
    <t xml:space="preserve">P0-3-W-005</t>
  </si>
  <si>
    <t xml:space="preserve">APPROVAL node — reject routes to reject path</t>
  </si>
  <si>
    <t xml:space="preserve">Workflow with reject_path configured</t>
  </si>
  <si>
    <t xml:space="preserve">1. Call advanceTask with action='REJECT'</t>
  </si>
  <si>
    <t xml:space="preserve">Workflow takes reject_path; reject notification fired</t>
  </si>
  <si>
    <t xml:space="preserve">P0-3-W-006</t>
  </si>
  <si>
    <t xml:space="preserve">SUPERVISOR assignment resolves via manager_id chain</t>
  </si>
  <si>
    <t xml:space="preserve">User with manager_id set</t>
  </si>
  <si>
    <t xml:space="preserve">1. Create TASK node with assignment_type=SUPERVISOR
2. Start workflow as user X</t>
  </si>
  <si>
    <t xml:space="preserve">Task assigned to user X's manager (resolved via users.manager_id)</t>
  </si>
  <si>
    <t xml:space="preserve">P0-3-W-007</t>
  </si>
  <si>
    <t xml:space="preserve">SLA escalation — task reassigned after due_at</t>
  </si>
  <si>
    <t xml:space="preserve">TASK node with SLA 5 minutes; escalation_role='Senior Manager'</t>
  </si>
  <si>
    <t xml:space="preserve">1. Start workflow; do NOT complete task
2. Advance time past due_at
3. Run BullMQ job manually</t>
  </si>
  <si>
    <t xml:space="preserve">Task status=ESCALATED; new task created for Senior Manager; history records escalation</t>
  </si>
  <si>
    <t xml:space="preserve">P0-3-W-008</t>
  </si>
  <si>
    <t xml:space="preserve">Workflow versioning — in-flight uses old version</t>
  </si>
  <si>
    <t xml:space="preserve">v1 published; v2 published afterwards</t>
  </si>
  <si>
    <t xml:space="preserve">1. Start workflow (uses v1)
2. Publish v2
3. Advance task on v1 instance</t>
  </si>
  <si>
    <t xml:space="preserve">v1 instance completes using v1 definition; new instance after step 2 uses v2</t>
  </si>
  <si>
    <t xml:space="preserve">P0-3-W-009</t>
  </si>
  <si>
    <t xml:space="preserve">PARALLEL_SPLIT — multiple tasks created simultaneously</t>
  </si>
  <si>
    <t xml:space="preserve">Workflow with parallel split to 2 paths</t>
  </si>
  <si>
    <t xml:space="preserve">1. Start workflow
2. Query workflow_tasks</t>
  </si>
  <si>
    <t xml:space="preserve">2 tasks created simultaneously; both in PENDING</t>
  </si>
  <si>
    <t xml:space="preserve">P0-3-W-010</t>
  </si>
  <si>
    <t xml:space="preserve">SYNCHRONISE — waits for all parallel tasks</t>
  </si>
  <si>
    <t xml:space="preserve">Workflow: split → 2 tasks → sync → end</t>
  </si>
  <si>
    <t xml:space="preserve">1. Complete task 1 only
2. Check instance state</t>
  </si>
  <si>
    <t xml:space="preserve">Instance still RUNNING; END not reached until task 2 also completed</t>
  </si>
  <si>
    <t xml:space="preserve">  Workflow Designer UI</t>
  </si>
  <si>
    <t xml:space="preserve">P0-3-D-001</t>
  </si>
  <si>
    <t xml:space="preserve">Workflow Designer UI</t>
  </si>
  <si>
    <t xml:space="preserve">Create and publish workflow via designer</t>
  </si>
  <si>
    <t xml:space="preserve">Admin in Workflow Designer</t>
  </si>
  <si>
    <t xml:space="preserve">1. Drag START → DECISION → TASK → END nodes
2. Configure condition on DECISION
3. Click Publish</t>
  </si>
  <si>
    <t xml:space="preserve">Workflow saved to workflow_definitions with version=1 and is_active=true</t>
  </si>
  <si>
    <t xml:space="preserve">P0-3-D-002</t>
  </si>
  <si>
    <t xml:space="preserve">Simulate mode — correct branch highlighted</t>
  </si>
  <si>
    <t xml:space="preserve">Published workflow with DECISION node</t>
  </si>
  <si>
    <t xml:space="preserve">1. Click Simulate
2. Enter test values {totalcost:200000}
3. Click Next</t>
  </si>
  <si>
    <t xml:space="preserve">Correct branch highlighted in canvas; no workflow_instances created in DB</t>
  </si>
  <si>
    <t xml:space="preserve">P0-3-D-003</t>
  </si>
  <si>
    <t xml:space="preserve">Workflow binding to entity trigger</t>
  </si>
  <si>
    <t xml:space="preserve">Published workflow</t>
  </si>
  <si>
    <t xml:space="preserve">1. Set workflow to trigger on SR_CREATED for ServiceRequest entity
2. Create SR</t>
  </si>
  <si>
    <t xml:space="preserve">Workflow instance auto-starts on SR creation</t>
  </si>
  <si>
    <t xml:space="preserve">EAM Phase 0 — P0-4 Integration Framework  |  Test Cases</t>
  </si>
  <si>
    <t xml:space="preserve">Workstream: P0-4  •  Pass: =COUNTIF(G5:G5000,"✅ PASS")  |  Fail: =COUNTIF(G5:G5000,"❌ FAIL")  |  Total: =COUNTA(B5:B5000)</t>
  </si>
  <si>
    <t xml:space="preserve">  REST Adapter</t>
  </si>
  <si>
    <t xml:space="preserve">P0-4-R-001</t>
  </si>
  <si>
    <t xml:space="preserve">REST Adapter</t>
  </si>
  <si>
    <t xml:space="preserve">REST adapter executes GET request and maps response</t>
  </si>
  <si>
    <t xml:space="preserve">Mock HTTP server (msw) running</t>
  </si>
  <si>
    <t xml:space="preserve">1. Configure REST connection to mock server
2. Create job to GET /test-endpoint
3. Run job</t>
  </si>
  <si>
    <t xml:space="preserve">Response received; fields mapped to EAM record per mapping_config; run_log=SUCCESS</t>
  </si>
  <si>
    <t xml:space="preserve">P0-4-R-002</t>
  </si>
  <si>
    <t xml:space="preserve">REST adapter with OAuth2 client credentials</t>
  </si>
  <si>
    <t xml:space="preserve">Mock OAuth2 token endpoint</t>
  </si>
  <si>
    <t xml:space="preserve">1. Configure connection with auth_type=OAUTH2_CLIENT_CREDENTIALS
2. Run job</t>
  </si>
  <si>
    <t xml:space="preserve">Token fetched; Bearer header set on subsequent calls; token cached until expiry</t>
  </si>
  <si>
    <t xml:space="preserve">P0-4-R-003</t>
  </si>
  <si>
    <t xml:space="preserve">REST adapter retry on 5xx error</t>
  </si>
  <si>
    <t xml:space="preserve">Mock server returns 503 twice then 200</t>
  </si>
  <si>
    <t xml:space="preserve">1. Configure retry_attempts=3
2. Run job</t>
  </si>
  <si>
    <t xml:space="preserve">Job succeeds on 3rd attempt; retry attempts logged</t>
  </si>
  <si>
    <t xml:space="preserve">P0-4-R-004</t>
  </si>
  <si>
    <t xml:space="preserve">REST adapter test connection</t>
  </si>
  <si>
    <t xml:space="preserve">1. POST /admin/integrations/connections/:id/test</t>
  </si>
  <si>
    <t xml:space="preserve">Returns {success:true, latency_ms} if reachable; {success:false, error} if not</t>
  </si>
  <si>
    <t xml:space="preserve">  SFTP Adapter</t>
  </si>
  <si>
    <t xml:space="preserve">P0-4-S-001</t>
  </si>
  <si>
    <t xml:space="preserve">SFTP Adapter</t>
  </si>
  <si>
    <t xml:space="preserve">SFTP inbound — pick up CSV and create records</t>
  </si>
  <si>
    <t xml:space="preserve">Mock SFTP server with test CSV file</t>
  </si>
  <si>
    <t xml:space="preserve">1. Configure SFTP inbound job
2. Run job
3. Check EAM entity records</t>
  </si>
  <si>
    <t xml:space="preserve">CSV rows mapped to EAM records; file archived/removed per config; run_log shows record count</t>
  </si>
  <si>
    <t xml:space="preserve">P0-4-S-002</t>
  </si>
  <si>
    <t xml:space="preserve">SFTP outbound — generate CSV from query</t>
  </si>
  <si>
    <t xml:space="preserve">EAM has work order records</t>
  </si>
  <si>
    <t xml:space="preserve">1. Configure outbound job with query selecting open WOs
2. Run job</t>
  </si>
  <si>
    <t xml:space="preserve">CSV file uploaded to SFTP path; filename has timestamp</t>
  </si>
  <si>
    <t xml:space="preserve">  Webhook Outbound</t>
  </si>
  <si>
    <t xml:space="preserve">P0-4-W-001</t>
  </si>
  <si>
    <t xml:space="preserve">Webhook Outbound</t>
  </si>
  <si>
    <t xml:space="preserve">Webhook fires on entity status change</t>
  </si>
  <si>
    <t xml:space="preserve">Webhook subscription active; listener server running</t>
  </si>
  <si>
    <t xml:space="preserve">1. Change WO status
2. Check webhook listener</t>
  </si>
  <si>
    <t xml:space="preserve">JSON payload delivered within 5s; X-EAM-Signature header present and verifiable</t>
  </si>
  <si>
    <t xml:space="preserve">P0-4-W-002</t>
  </si>
  <si>
    <t xml:space="preserve">HMAC signature verification</t>
  </si>
  <si>
    <t xml:space="preserve">Webhook payload received</t>
  </si>
  <si>
    <t xml:space="preserve">1. Compute HMAC-SHA256 of payload body using shared secret
2. Compare to header value</t>
  </si>
  <si>
    <t xml:space="preserve">Signatures match; payload not tampered</t>
  </si>
  <si>
    <t xml:space="preserve">P0-4-W-003</t>
  </si>
  <si>
    <t xml:space="preserve">Webhook retry on delivery failure</t>
  </si>
  <si>
    <t xml:space="preserve">Listener returns 500</t>
  </si>
  <si>
    <t xml:space="preserve">1. Fire webhook
2. Listener returns 503 three times</t>
  </si>
  <si>
    <t xml:space="preserve">3 retries with exponential backoff (1s, 2s, 4s); dead-lettered after 3rd failure; admin alerted</t>
  </si>
  <si>
    <t xml:space="preserve">P0-4-W-004</t>
  </si>
  <si>
    <t xml:space="preserve">Admin disables webhook subscription</t>
  </si>
  <si>
    <t xml:space="preserve">Active subscription</t>
  </si>
  <si>
    <t xml:space="preserve">1. Set subscription is_active=false
2. Trigger entity change</t>
  </si>
  <si>
    <t xml:space="preserve">No webhook delivery; no delivery log entry for that subscription</t>
  </si>
  <si>
    <t xml:space="preserve">  Integration Admin UI</t>
  </si>
  <si>
    <t xml:space="preserve">P0-4-A-001</t>
  </si>
  <si>
    <t xml:space="preserve">Integration Admin UI</t>
  </si>
  <si>
    <t xml:space="preserve">Create connection, test, save</t>
  </si>
  <si>
    <t xml:space="preserve">Admin in Integration admin UI</t>
  </si>
  <si>
    <t xml:space="preserve">1. Create REST connection with valid URL
2. Click Test
3. Save</t>
  </si>
  <si>
    <t xml:space="preserve">Test result shown; connection saved; appears in connections list</t>
  </si>
  <si>
    <t xml:space="preserve">P0-4-A-002</t>
  </si>
  <si>
    <t xml:space="preserve">View run history and error log</t>
  </si>
  <si>
    <t xml:space="preserve">Job has been run with one failure</t>
  </si>
  <si>
    <t xml:space="preserve">1. Navigate to job run history</t>
  </si>
  <si>
    <t xml:space="preserve">Both successful and failed runs shown; error details expandable</t>
  </si>
  <si>
    <t xml:space="preserve">P0-4-A-003</t>
  </si>
  <si>
    <t xml:space="preserve">Manual trigger of scheduled job</t>
  </si>
  <si>
    <t xml:space="preserve">Admin on job detail page</t>
  </si>
  <si>
    <t xml:space="preserve">1. Click 'Run Now'</t>
  </si>
  <si>
    <t xml:space="preserve">Job queued immediately; run log entry created; status updates in UI</t>
  </si>
  <si>
    <t xml:space="preserve">EAM Phase 0 — P0-5 Attachment Service &amp; Virus Scanning  |  Test Cases</t>
  </si>
  <si>
    <t xml:space="preserve">Workstream: P0-5  •  Pass: =COUNTIF(G5:G5000,"✅ PASS")  |  Fail: =COUNTIF(G5:G5000,"❌ FAIL")  |  Total: =COUNTA(B5:B5000)</t>
  </si>
  <si>
    <t xml:space="preserve">  Upload Pipeline</t>
  </si>
  <si>
    <t xml:space="preserve">P0-5-U-001</t>
  </si>
  <si>
    <t xml:space="preserve">Upload Pipeline</t>
  </si>
  <si>
    <t xml:space="preserve">Standard upload flow — presign → upload → confirm</t>
  </si>
  <si>
    <t xml:space="preserve">MinIO running; document type 'General' configured</t>
  </si>
  <si>
    <t xml:space="preserve">1. POST /attachments/presign {documentType:'General', filename:'test.pdf'}
2. PUT file to presigned URL
3. POST /attachments/:id/confirm</t>
  </si>
  <si>
    <t xml:space="preserve">Attachment record created; scan_status=PENDING then CLEAN; download URL works</t>
  </si>
  <si>
    <t xml:space="preserve">P0-5-U-002</t>
  </si>
  <si>
    <t xml:space="preserve">File extension rejected if not in allowed list</t>
  </si>
  <si>
    <t xml:space="preserve">Document type allows only [pdf, jpg]</t>
  </si>
  <si>
    <t xml:space="preserve">1. POST /attachments/presign {filename:'report.xlsx'}</t>
  </si>
  <si>
    <t xml:space="preserve">422 returned; no presigned URL issued; no S3 object created</t>
  </si>
  <si>
    <t xml:space="preserve">P0-5-U-003</t>
  </si>
  <si>
    <t xml:space="preserve">File size limit enforced at presign</t>
  </si>
  <si>
    <t xml:space="preserve">Document type max_size=5MB</t>
  </si>
  <si>
    <t xml:space="preserve">1. POST /attachments/presign {fileSize:10000000}</t>
  </si>
  <si>
    <t xml:space="preserve">422 returned with size_limit_exceeded error</t>
  </si>
  <si>
    <t xml:space="preserve">P0-5-U-004</t>
  </si>
  <si>
    <t xml:space="preserve">SHA-256 checksum recorded</t>
  </si>
  <si>
    <t xml:space="preserve">After successful upload</t>
  </si>
  <si>
    <t xml:space="preserve">1. GET /attachments/:id/metadata</t>
  </si>
  <si>
    <t xml:space="preserve">checksum_sha256 field populated with correct hash of uploaded file</t>
  </si>
  <si>
    <t xml:space="preserve">  Virus Scanning</t>
  </si>
  <si>
    <t xml:space="preserve">P0-5-V-001</t>
  </si>
  <si>
    <t xml:space="preserve">Virus Scanning</t>
  </si>
  <si>
    <t xml:space="preserve">EICAR test file triggers QUARANTINE action</t>
  </si>
  <si>
    <t xml:space="preserve">ClamAV running; document type virus_scan_action=QUARANTINE</t>
  </si>
  <si>
    <t xml:space="preserve">1. Upload EICAR test string as .txt file
2. Wait for scan worker
3. GET /attachments/:id/metadata</t>
  </si>
  <si>
    <t xml:space="preserve">scan_status=INFECTED; file moved to quarantine prefix in S3; download returns 403</t>
  </si>
  <si>
    <t xml:space="preserve">P0-5-V-002</t>
  </si>
  <si>
    <t xml:space="preserve">EICAR file triggers REJECT action</t>
  </si>
  <si>
    <t xml:space="preserve">Document type virus_scan_action=REJECT</t>
  </si>
  <si>
    <t xml:space="preserve">1. Upload EICAR test string</t>
  </si>
  <si>
    <t xml:space="preserve">File deleted from S3; attachment.deleted_at set; uploader notification sent</t>
  </si>
  <si>
    <t xml:space="preserve">P0-5-V-003</t>
  </si>
  <si>
    <t xml:space="preserve">EICAR file triggers ALERT action — file still accessible</t>
  </si>
  <si>
    <t xml:space="preserve">Document type virus_scan_action=ALERT</t>
  </si>
  <si>
    <t xml:space="preserve">1. Upload EICAR test string
2. GET /attachments/:id/download</t>
  </si>
  <si>
    <t xml:space="preserve">scan_status=INFECTED but download still returns URL; admin notification sent</t>
  </si>
  <si>
    <t xml:space="preserve">P0-5-V-004</t>
  </si>
  <si>
    <t xml:space="preserve">virus_scan_enabled=false skips scan queue</t>
  </si>
  <si>
    <t xml:space="preserve">Document type virus_scan_enabled=false</t>
  </si>
  <si>
    <t xml:space="preserve">1. Upload any file
2. GET /attachments/:id/metadata immediately</t>
  </si>
  <si>
    <t xml:space="preserve">scan_status=null or N/A; file immediately downloadable; no BullMQ job queued</t>
  </si>
  <si>
    <t xml:space="preserve">P0-5-V-005</t>
  </si>
  <si>
    <t xml:space="preserve">ClamAV unavailable with BLOCK fallback</t>
  </si>
  <si>
    <t xml:space="preserve">ClamAV service stopped; fallback_action=BLOCK</t>
  </si>
  <si>
    <t xml:space="preserve">1. POST /attachments/presign + confirm</t>
  </si>
  <si>
    <t xml:space="preserve">Upload blocked with service_unavailable error; file not stored</t>
  </si>
  <si>
    <t xml:space="preserve">  Attachment Library &amp; Versioning</t>
  </si>
  <si>
    <t xml:space="preserve">P0-5-L-001</t>
  </si>
  <si>
    <t xml:space="preserve">Attachment Library &amp; Versioning</t>
  </si>
  <si>
    <t xml:space="preserve">Same file linked to two entity records — single S3 object</t>
  </si>
  <si>
    <t xml:space="preserve">Existing attachment</t>
  </si>
  <si>
    <t xml:space="preserve">1. POST /attachments/:id/link {entityType:'WorkOrder',entityId:'WO-002'}
2. Check S3 object count</t>
  </si>
  <si>
    <t xml:space="preserve">One S3 object; two attachment_links records; storage_key identical</t>
  </si>
  <si>
    <t xml:space="preserve">P0-5-L-002</t>
  </si>
  <si>
    <t xml:space="preserve">Deleting one link does not delete S3 object</t>
  </si>
  <si>
    <t xml:space="preserve">Attachment linked to WO-001 and WO-002</t>
  </si>
  <si>
    <t xml:space="preserve">1. DELETE /attachments/:id?entityType=WorkOrder&amp;entityId=WO-001
2. GET /attachments for WO-002</t>
  </si>
  <si>
    <t xml:space="preserve">WO-001 link removed; WO-002 attachment still present and downloadable</t>
  </si>
  <si>
    <t xml:space="preserve">P0-5-L-003</t>
  </si>
  <si>
    <t xml:space="preserve">Upload new version of existing attachment</t>
  </si>
  <si>
    <t xml:space="preserve">Attachment v1 exists</t>
  </si>
  <si>
    <t xml:space="preserve">1. Upload new file with version_of=:existingId
2. GET /attachments/:id/versions</t>
  </si>
  <si>
    <t xml:space="preserve">Two version records; download default returns v2; v1 still accessible</t>
  </si>
  <si>
    <t xml:space="preserve">P0-5-L-004</t>
  </si>
  <si>
    <t xml:space="preserve">Retention policy flag — attachment marked for review</t>
  </si>
  <si>
    <t xml:space="preserve">Document type retention_days=30; attachment uploaded 31 days ago (set created_at in DB)</t>
  </si>
  <si>
    <t xml:space="preserve">1. Run retention check job</t>
  </si>
  <si>
    <t xml:space="preserve">Attachment flagged with expires_at in the past; appears in admin retention review list</t>
  </si>
  <si>
    <t xml:space="preserve">EAM Phase 0 — P0-6 Reporting Engine &amp; BI Adapters  |  Test Cases</t>
  </si>
  <si>
    <t xml:space="preserve">Workstream: P0-6  •  Pass: =COUNTIF(G5:G5000,"✅ PASS")  |  Fail: =COUNTIF(G5:G5000,"❌ FAIL")  |  Total: =COUNTA(B5:B5000)</t>
  </si>
  <si>
    <t xml:space="preserve">  Query Builder &amp; Security</t>
  </si>
  <si>
    <t xml:space="preserve">P0-6-Q-001</t>
  </si>
  <si>
    <t xml:space="preserve">Query Builder &amp; Security</t>
  </si>
  <si>
    <t xml:space="preserve">tenant_id always injected into queries</t>
  </si>
  <si>
    <t xml:space="preserve">ReportQueryBuilder unit test</t>
  </si>
  <si>
    <t xml:space="preserve">1. Build query for 'work_orders' subject
2. Inspect generated SQL</t>
  </si>
  <si>
    <t xml:space="preserve">WHERE clause always includes tenant_id = $1 parameter; never string-concatenated</t>
  </si>
  <si>
    <t xml:space="preserve">P0-6-Q-002</t>
  </si>
  <si>
    <t xml:space="preserve">SQL injection attempt via filter field</t>
  </si>
  <si>
    <t xml:space="preserve">Report with user-controlled filter value</t>
  </si>
  <si>
    <t xml:space="preserve">1. Pass filter value: '; DROP TABLE work_orders; --'</t>
  </si>
  <si>
    <t xml:space="preserve">QueryBuilder rejects or escapes; no DDL executed; 400 returned</t>
  </si>
  <si>
    <t xml:space="preserve">P0-6-Q-003</t>
  </si>
  <si>
    <t xml:space="preserve">Tenant A cannot access Tenant B data</t>
  </si>
  <si>
    <t xml:space="preserve">Two tenants with work orders</t>
  </si>
  <si>
    <t xml:space="preserve">1. Run report as Tenant A user
2. Check results</t>
  </si>
  <si>
    <t xml:space="preserve">Only Tenant A work orders in results; Tenant B rows absent</t>
  </si>
  <si>
    <t xml:space="preserve">P0-6-Q-004</t>
  </si>
  <si>
    <t xml:space="preserve">All filter operators work correctly</t>
  </si>
  <si>
    <t xml:space="preserve">QueryBuilder unit tests</t>
  </si>
  <si>
    <t xml:space="preserve">Test EQUALS, NOT_EQUALS, CONTAINS, STARTS_WITH, IN, BETWEEN, IS_NULL operators</t>
  </si>
  <si>
    <t xml:space="preserve">Each generates correct parameterised SQL clause</t>
  </si>
  <si>
    <t xml:space="preserve">  Report Designer &amp; Export</t>
  </si>
  <si>
    <t xml:space="preserve">P0-6-D-001</t>
  </si>
  <si>
    <t xml:space="preserve">Report Designer &amp; Export</t>
  </si>
  <si>
    <t xml:space="preserve">Non-developer creates report without SQL</t>
  </si>
  <si>
    <t xml:space="preserve">Admin in Report Designer</t>
  </si>
  <si>
    <t xml:space="preserve">1. Select 'work_orders' subject
2. Drag 3 fields
3. Add filter (status=OPEN)
4. Preview</t>
  </si>
  <si>
    <t xml:space="preserve">Preview shows rows matching filter; no SQL entered by user</t>
  </si>
  <si>
    <t xml:space="preserve">P0-6-D-002</t>
  </si>
  <si>
    <t xml:space="preserve">Export report as PDF</t>
  </si>
  <si>
    <t xml:space="preserve">Report defined</t>
  </si>
  <si>
    <t xml:space="preserve">1. POST /reports/definitions/:id/run {format:'PDF'}
2. Download file</t>
  </si>
  <si>
    <t xml:space="preserve">PDF downloaded; has header with report name + date; rows formatted as table</t>
  </si>
  <si>
    <t xml:space="preserve">P0-6-D-003</t>
  </si>
  <si>
    <t xml:space="preserve">Export report as XLSX</t>
  </si>
  <si>
    <t xml:space="preserve">1. POST /reports/definitions/:id/run {format:'XLSX'}</t>
  </si>
  <si>
    <t xml:space="preserve">XLSX file; header row styled; auto-filter enabled; no formula errors</t>
  </si>
  <si>
    <t xml:space="preserve">P0-6-D-004</t>
  </si>
  <si>
    <t xml:space="preserve">Schedule report — weekly delivery</t>
  </si>
  <si>
    <t xml:space="preserve">Report defined; SMTP configured</t>
  </si>
  <si>
    <t xml:space="preserve">1. Create schedule: weekly Monday 08:00; recipient role 'Admin'; format PDF
2. Trigger manually</t>
  </si>
  <si>
    <t xml:space="preserve">Email delivered to all Admin users with PDF attachment; run_log records row_count</t>
  </si>
  <si>
    <t xml:space="preserve">P0-6-D-005</t>
  </si>
  <si>
    <t xml:space="preserve">Skip-if-empty schedule — no email when 0 rows</t>
  </si>
  <si>
    <t xml:space="preserve">Schedule with skip_if_empty=true; empty result set</t>
  </si>
  <si>
    <t xml:space="preserve">1. Trigger scheduled run</t>
  </si>
  <si>
    <t xml:space="preserve">No email sent; run_log status=SKIPPED; row_count=0</t>
  </si>
  <si>
    <t xml:space="preserve">  BI Adapters</t>
  </si>
  <si>
    <t xml:space="preserve">P0-6-B-001</t>
  </si>
  <si>
    <t xml:space="preserve">BI Adapters</t>
  </si>
  <si>
    <t xml:space="preserve">Power BI Direct Query — eam_reporting role</t>
  </si>
  <si>
    <t xml:space="preserve">PostgreSQL read replica; eam_reporting role created</t>
  </si>
  <si>
    <t xml:space="preserve">1. Connect via psql as eam_reporting
2. SELECT * FROM rpt_tenant_X_work_orders
3. Try UPDATE</t>
  </si>
  <si>
    <t xml:space="preserve">SELECT succeeds with tenant-scoped data; UPDATE returns permission denied</t>
  </si>
  <si>
    <t xml:space="preserve">P0-6-B-002</t>
  </si>
  <si>
    <t xml:space="preserve">Tableau WDC schema endpoint</t>
  </si>
  <si>
    <t xml:space="preserve">WDC endpoint deployed</t>
  </si>
  <si>
    <t xml:space="preserve">1. GET /reporting/tableau-wdc/work_orders/schema</t>
  </si>
  <si>
    <t xml:space="preserve">Returns JSON with columns array; field types are correct Tableau types</t>
  </si>
  <si>
    <t xml:space="preserve">P0-6-B-003</t>
  </si>
  <si>
    <t xml:space="preserve">Tableau WDC data endpoint — pagination</t>
  </si>
  <si>
    <t xml:space="preserve">work_orders subject has &gt; 100 rows</t>
  </si>
  <si>
    <t xml:space="preserve">1. GET /reporting/tableau-wdc/work_orders/data?page=1&amp;limit=100</t>
  </si>
  <si>
    <t xml:space="preserve">Returns 100 rows; has_more=true; page=2 returns next batch</t>
  </si>
  <si>
    <t xml:space="preserve">P0-6-B-004</t>
  </si>
  <si>
    <t xml:space="preserve">Qlik export generates CSV to S3</t>
  </si>
  <si>
    <t xml:space="preserve">Qlik adapter configured</t>
  </si>
  <si>
    <t xml:space="preserve">1. POST /admin/reporting/bi/qlik/export/work_orders</t>
  </si>
  <si>
    <t xml:space="preserve">CSV file in S3 at configured prefix; file contains correct tenant data</t>
  </si>
  <si>
    <t xml:space="preserve">P0-6-B-005</t>
  </si>
  <si>
    <t xml:space="preserve">BIRT rptdesign upload and render</t>
  </si>
  <si>
    <t xml:space="preserve">BIRT runtime container running</t>
  </si>
  <si>
    <t xml:space="preserve">1. Upload sample.rptdesign
2. GET /admin/reporting/birt/:id/run?format=PDF</t>
  </si>
  <si>
    <t xml:space="preserve">PDF rendered by BIRT runtime; proxied back to caller</t>
  </si>
  <si>
    <t xml:space="preserve">EAM Phase 0 — P0-7 User Dashboard &amp; Active-User Collaboration  |  Test Cases</t>
  </si>
  <si>
    <t xml:space="preserve">Workstream: P0-7  •  Pass: =COUNTIF(G5:G5000,"✅ PASS")  |  Fail: =COUNTIF(G5:G5000,"❌ FAIL")  |  Total: =COUNTA(B5:B5000)</t>
  </si>
  <si>
    <t xml:space="preserve">  Dashboard Configuration</t>
  </si>
  <si>
    <t xml:space="preserve">P0-7-D-001</t>
  </si>
  <si>
    <t xml:space="preserve">Dashboard Configuration</t>
  </si>
  <si>
    <t xml:space="preserve">Role-default dashboard shown to new user</t>
  </si>
  <si>
    <t xml:space="preserve">Admin has set default layout for 'Technician' role with 2 widgets</t>
  </si>
  <si>
    <t xml:space="preserve">1. Create new user with Technician role
2. Login</t>
  </si>
  <si>
    <t xml:space="preserve">Dashboard shows 2 pre-configured widgets; no manual setup required</t>
  </si>
  <si>
    <t xml:space="preserve">P0-7-D-002</t>
  </si>
  <si>
    <t xml:space="preserve">User personalises layout — persists across sessions</t>
  </si>
  <si>
    <t xml:space="preserve">1. Drag widget to new position
2. Logout
3. Login again</t>
  </si>
  <si>
    <t xml:space="preserve">Widget in new position; layout saved to user_dashboards</t>
  </si>
  <si>
    <t xml:space="preserve">P0-7-D-003</t>
  </si>
  <si>
    <t xml:space="preserve">User resets to role default</t>
  </si>
  <si>
    <t xml:space="preserve">User has personalised layout</t>
  </si>
  <si>
    <t xml:space="preserve">1. Click 'Reset to Default'
2. Confirm</t>
  </si>
  <si>
    <t xml:space="preserve">Layout reverts to role default; user_dashboards row updated</t>
  </si>
  <si>
    <t xml:space="preserve">P0-7-D-004</t>
  </si>
  <si>
    <t xml:space="preserve">Multiple named dashboard tabs</t>
  </si>
  <si>
    <t xml:space="preserve">1. Add new tab named 'Procurement'
2. Add widgets to it
3. Switch tabs</t>
  </si>
  <si>
    <t xml:space="preserve">Both tabs persist; each has independent widget layout</t>
  </si>
  <si>
    <t xml:space="preserve">  Widget Functionality</t>
  </si>
  <si>
    <t xml:space="preserve">P0-7-W-001</t>
  </si>
  <si>
    <t xml:space="preserve">Widget Functionality</t>
  </si>
  <si>
    <t xml:space="preserve">KPI tile shows correct aggregate value</t>
  </si>
  <si>
    <t xml:space="preserve">Work orders in DB; KPI tile configured for count of OPEN WOs</t>
  </si>
  <si>
    <t xml:space="preserve">1. Open dashboard with KPI tile</t>
  </si>
  <si>
    <t xml:space="preserve">Tile shows correct count matching DB query; refreshes per configured interval</t>
  </si>
  <si>
    <t xml:space="preserve">P0-7-W-002</t>
  </si>
  <si>
    <t xml:space="preserve">List widget shows top-N records</t>
  </si>
  <si>
    <t xml:space="preserve">List widget: entity=WorkOrder, filter={status:OPEN}, max_rows=5</t>
  </si>
  <si>
    <t xml:space="preserve">1. Open dashboard</t>
  </si>
  <si>
    <t xml:space="preserve">Up to 5 open WOs shown; click on row navigates to WO detail</t>
  </si>
  <si>
    <t xml:space="preserve">P0-7-W-003</t>
  </si>
  <si>
    <t xml:space="preserve">Performance</t>
  </si>
  <si>
    <t xml:space="preserve">Slow widget does not block other widgets</t>
  </si>
  <si>
    <t xml:space="preserve">One widget configured with a slow query (forced via mock)</t>
  </si>
  <si>
    <t xml:space="preserve">1. Open dashboard
2. Observe load order</t>
  </si>
  <si>
    <t xml:space="preserve">Fast widgets show data while slow widget shows skeleton; page not blocked</t>
  </si>
  <si>
    <t xml:space="preserve">P0-7-W-004</t>
  </si>
  <si>
    <t xml:space="preserve">Chart widget auto-refreshes</t>
  </si>
  <si>
    <t xml:space="preserve">Chart widget with refresh_interval=60s</t>
  </si>
  <si>
    <t xml:space="preserve">1. Open dashboard
2. Wait 60+ seconds
3. Observe network requests</t>
  </si>
  <si>
    <t xml:space="preserve">New data request fired after 60s; chart updates without page reload</t>
  </si>
  <si>
    <t xml:space="preserve">P0-7-W-005</t>
  </si>
  <si>
    <t xml:space="preserve">Active Users widget shows online users</t>
  </si>
  <si>
    <t xml:space="preserve">Two users logged in (Playwright 2-tab test)</t>
  </si>
  <si>
    <t xml:space="preserve">1. Both users open dashboard
2. Check Active Users widget</t>
  </si>
  <si>
    <t xml:space="preserve">Both users appear as ONLINE; status updates within heartbeat interval</t>
  </si>
  <si>
    <t xml:space="preserve">  Presence &amp; Chat</t>
  </si>
  <si>
    <t xml:space="preserve">P0-7-C-001</t>
  </si>
  <si>
    <t xml:space="preserve">Presence &amp; Chat</t>
  </si>
  <si>
    <t xml:space="preserve">Direct message delivered in real time</t>
  </si>
  <si>
    <t xml:space="preserve">Two browser sessions (User A and User B)</t>
  </si>
  <si>
    <t xml:space="preserve">1. User A sends message to User B
2. Observe User B's chat window</t>
  </si>
  <si>
    <t xml:space="preserve">Message appears in User B's chat within 2 seconds</t>
  </si>
  <si>
    <t xml:space="preserve">P0-7-C-002</t>
  </si>
  <si>
    <t xml:space="preserve">Unread badge increments on new message</t>
  </si>
  <si>
    <t xml:space="preserve">User B has chat closed</t>
  </si>
  <si>
    <t xml:space="preserve">1. User A sends message to User B</t>
  </si>
  <si>
    <t xml:space="preserve">User B's bell/chat icon shows unread badge count = 1</t>
  </si>
  <si>
    <t xml:space="preserve">P0-7-C-003</t>
  </si>
  <si>
    <t xml:space="preserve">Context link in chat from WO detail page</t>
  </si>
  <si>
    <t xml:space="preserve">WO-001 detail page</t>
  </si>
  <si>
    <t xml:space="preserve">1. User A clicks Share from WO-001
2. Selects User B
3. Sends</t>
  </si>
  <si>
    <t xml:space="preserve">User B receives message with WO-001 link; clicking link navigates to WO-001</t>
  </si>
  <si>
    <t xml:space="preserve">P0-7-C-004</t>
  </si>
  <si>
    <t xml:space="preserve">User goes offline after disconnect</t>
  </si>
  <si>
    <t xml:space="preserve">User A connected</t>
  </si>
  <si>
    <t xml:space="preserve">1. User A closes browser tab
2. Wait &gt; 5s grace period
3. Check presence</t>
  </si>
  <si>
    <t xml:space="preserve">User A presence status=OFFLINE; Active Users widget updates</t>
  </si>
  <si>
    <t xml:space="preserve">P0-7-C-005</t>
  </si>
  <si>
    <t xml:space="preserve">DND status visible to others</t>
  </si>
  <si>
    <t xml:space="preserve">User A sets DND</t>
  </si>
  <si>
    <t xml:space="preserve">1. User A emits status:update {status:DND}
2. User B checks Active Users</t>
  </si>
  <si>
    <t xml:space="preserve">User A shown with amber indicator</t>
  </si>
  <si>
    <t xml:space="preserve">EAM Phase 0 — P0-8 Email Notification Framework  |  Test Cases</t>
  </si>
  <si>
    <t xml:space="preserve">Workstream: P0-8  •  Pass: =COUNTIF(G5:G5000,"✅ PASS")  |  Fail: =COUNTIF(G5:G5000,"❌ FAIL")  |  Total: =COUNTA(B5:B5000)</t>
  </si>
  <si>
    <t xml:space="preserve">  Email Delivery</t>
  </si>
  <si>
    <t xml:space="preserve">P0-8-E-001</t>
  </si>
  <si>
    <t xml:space="preserve">Email Delivery</t>
  </si>
  <si>
    <t xml:space="preserve">Email sent on WO_ASSIGNED event</t>
  </si>
  <si>
    <t xml:space="preserve">Notification trigger active for WO_ASSIGNED; Mailhog SMTP configured</t>
  </si>
  <si>
    <t xml:space="preserve">1. Create WO with assigned_to_user_id set
2. Check Mailhog inbox</t>
  </si>
  <si>
    <t xml:space="preserve">Email arrives within 30s; subject and body contain correct WO number and assignee name</t>
  </si>
  <si>
    <t xml:space="preserve">P0-8-E-002</t>
  </si>
  <si>
    <t xml:space="preserve">Merge fields render correctly in template</t>
  </si>
  <si>
    <t xml:space="preserve">Template with {{workorder.num}}, {{asset.description}}, {{assignee.name}}</t>
  </si>
  <si>
    <t xml:space="preserve">1. Trigger email event
2. Inspect email body</t>
  </si>
  <si>
    <t xml:space="preserve">All merge fields replaced with actual values; no {{placeholder}} strings visible</t>
  </si>
  <si>
    <t xml:space="preserve">P0-8-E-003</t>
  </si>
  <si>
    <t xml:space="preserve">Plain-text fallback sent alongside HTML</t>
  </si>
  <si>
    <t xml:space="preserve">Email client set to plain text only</t>
  </si>
  <si>
    <t xml:space="preserve">1. Inspect raw email MIME</t>
  </si>
  <si>
    <t xml:space="preserve">Email has both text/html and text/plain parts</t>
  </si>
  <si>
    <t xml:space="preserve">P0-8-E-004</t>
  </si>
  <si>
    <t xml:space="preserve">Hard SMTP bounce marks user email_bounced</t>
  </si>
  <si>
    <t xml:space="preserve">SMTP mock returns 550 permanent failure</t>
  </si>
  <si>
    <t xml:space="preserve">1. Send notification to bouncing address</t>
  </si>
  <si>
    <t xml:space="preserve">delivery_log status=FAILED; user.email_bounced=true; admin alerted</t>
  </si>
  <si>
    <t xml:space="preserve">P0-8-E-005</t>
  </si>
  <si>
    <t xml:space="preserve">Delivery log records every send</t>
  </si>
  <si>
    <t xml:space="preserve">Multiple notifications triggered</t>
  </si>
  <si>
    <t xml:space="preserve">1. GET /admin/notifications/delivery-log</t>
  </si>
  <si>
    <t xml:space="preserve">All send attempts logged with status, timestamp, recipient, event type</t>
  </si>
  <si>
    <t xml:space="preserve">  Triggers &amp; Conditions</t>
  </si>
  <si>
    <t xml:space="preserve">P0-8-T-001</t>
  </si>
  <si>
    <t xml:space="preserve">Triggers &amp; Conditions</t>
  </si>
  <si>
    <t xml:space="preserve">Conditional trigger — only fires when condition met</t>
  </si>
  <si>
    <t xml:space="preserve">Trigger for PR_APPROVED with condition totalcost&gt;100000</t>
  </si>
  <si>
    <t xml:space="preserve">1. Approve PR with totalcost=80000 → check for email
2. Approve PR with totalcost=150000 → check</t>
  </si>
  <si>
    <t xml:space="preserve">Step 1: no email. Step 2: email sent</t>
  </si>
  <si>
    <t xml:space="preserve">P0-8-T-002</t>
  </si>
  <si>
    <t xml:space="preserve">Rate limiting — bulk update produces digest not N emails</t>
  </si>
  <si>
    <t xml:space="preserve">Trigger with rate_limit: max=10 per 60s; 50 WOs updated</t>
  </si>
  <si>
    <t xml:space="preserve">1. Update 50 WOs to APPR status
2. Check emails</t>
  </si>
  <si>
    <t xml:space="preserve">≤ 10 emails (or 1 digest) sent; not 50</t>
  </si>
  <si>
    <t xml:space="preserve">P0-8-T-003</t>
  </si>
  <si>
    <t xml:space="preserve">Digest mode — batched email sent after window</t>
  </si>
  <si>
    <t xml:space="preserve">Trigger with digest_config enabled; window=5min</t>
  </si>
  <si>
    <t xml:space="preserve">1. Fire same event 5 times within window
2. Wait for window to close</t>
  </si>
  <si>
    <t xml:space="preserve">1 digest email sent listing all 5 events; not 5 separate emails</t>
  </si>
  <si>
    <t xml:space="preserve">P0-8-T-004</t>
  </si>
  <si>
    <t xml:space="preserve">Admin disables trigger — no notifications fired</t>
  </si>
  <si>
    <t xml:space="preserve">Active trigger</t>
  </si>
  <si>
    <t xml:space="preserve">1. Set trigger is_active=false
2. Fire triggering event</t>
  </si>
  <si>
    <t xml:space="preserve">No email; no in-app notification; no delivery log entry</t>
  </si>
  <si>
    <t xml:space="preserve">  In-App Notifications</t>
  </si>
  <si>
    <t xml:space="preserve">P0-8-I-001</t>
  </si>
  <si>
    <t xml:space="preserve">In-App Notifications</t>
  </si>
  <si>
    <t xml:space="preserve">In-app notification delivered in real time</t>
  </si>
  <si>
    <t xml:space="preserve">User logged in; WS connection active</t>
  </si>
  <si>
    <t xml:space="preserve">1. Trigger event (WO assigned to user)
2. Observe notification bell</t>
  </si>
  <si>
    <t xml:space="preserve">Bell badge increments within 2s; notification visible in drawer</t>
  </si>
  <si>
    <t xml:space="preserve">P0-8-I-002</t>
  </si>
  <si>
    <t xml:space="preserve">User unsubscribes from email — still gets in-app</t>
  </si>
  <si>
    <t xml:space="preserve">User has disabled email for WO_ASSIGNED</t>
  </si>
  <si>
    <t xml:space="preserve">1. Assign WO to user</t>
  </si>
  <si>
    <t xml:space="preserve">No email; in-app notification still delivered</t>
  </si>
  <si>
    <t xml:space="preserve">P0-8-I-003</t>
  </si>
  <si>
    <t xml:space="preserve">Mark notification read</t>
  </si>
  <si>
    <t xml:space="preserve">User has unread notification</t>
  </si>
  <si>
    <t xml:space="preserve">1. POST /notifications/:id/read
2. GET /notifications</t>
  </si>
  <si>
    <t xml:space="preserve">is_read=true; read_at set; unread count decrements</t>
  </si>
  <si>
    <t xml:space="preserve">P0-8-I-004</t>
  </si>
  <si>
    <t xml:space="preserve">Mandatory trigger cannot be disabled by user</t>
  </si>
  <si>
    <t xml:space="preserve">System trigger is_mandatory=true</t>
  </si>
  <si>
    <t xml:space="preserve">1. User tries to disable via PUT /users/me/notification-preferences</t>
  </si>
  <si>
    <t xml:space="preserve">Preference update rejected for mandatory trigger; toggle locked in UI</t>
  </si>
  <si>
    <t xml:space="preserve">  Admin Configuration</t>
  </si>
  <si>
    <t xml:space="preserve">P0-8-A-001</t>
  </si>
  <si>
    <t xml:space="preserve">Admin Configuration</t>
  </si>
  <si>
    <t xml:space="preserve">SMTP configuration + test send</t>
  </si>
  <si>
    <t xml:space="preserve">Admin on SMTP config page; Mailhog available</t>
  </si>
  <si>
    <t xml:space="preserve">1. Enter SMTP credentials
2. Click Send Test Email</t>
  </si>
  <si>
    <t xml:space="preserve">Test email arrives in Mailhog; success message shown in UI</t>
  </si>
  <si>
    <t xml:space="preserve">P0-8-A-002</t>
  </si>
  <si>
    <t xml:space="preserve">Create new notification trigger with custom template</t>
  </si>
  <si>
    <t xml:space="preserve">Admin on Triggers page</t>
  </si>
  <si>
    <t xml:space="preserve">1. Create trigger for custom event type
2. Select custom template
3. Activate</t>
  </si>
  <si>
    <t xml:space="preserve">Trigger active; fires correctly on next matching event; no code change required</t>
  </si>
  <si>
    <t xml:space="preserve">P0-8-A-003</t>
  </si>
  <si>
    <t xml:space="preserve">Template preview renders correctly</t>
  </si>
  <si>
    <t xml:space="preserve">Admin in Template editor</t>
  </si>
  <si>
    <t xml:space="preserve">1. Edit template
2. Click Preview
3. Click Send Preview Email</t>
  </si>
  <si>
    <t xml:space="preserve">Preview renders with sample data; email arrives at admin's inbox</t>
  </si>
  <si>
    <t xml:space="preserve">EAM Phase 0 — Integration Sprint — End-to-End &amp; Non-Functional  |  Test Cases</t>
  </si>
  <si>
    <t xml:space="preserve">Workstream: INT  •  Pass: =COUNTIF(G5:G5000,"✅ PASS")  |  Fail: =COUNTIF(G5:G5000,"❌ FAIL")  |  Total: =COUNTA(B5:B5000)</t>
  </si>
  <si>
    <t xml:space="preserve">  End-to-End Scenario</t>
  </si>
  <si>
    <t xml:space="preserve">INT-E2E-001</t>
  </si>
  <si>
    <t xml:space="preserve">End-to-End Scenario</t>
  </si>
  <si>
    <t xml:space="preserve">Full Phase 0 integration scenario — Step 1: LDAP sync</t>
  </si>
  <si>
    <t xml:space="preserve">All 8 services running; mock LDAP server; Playwright test</t>
  </si>
  <si>
    <t xml:space="preserve">1. Admin logs in
2. Configures LDAP provider
3. Triggers sync</t>
  </si>
  <si>
    <t xml:space="preserve">New user testtech@eam.local appears in Users list with auth_source=LDAP</t>
  </si>
  <si>
    <t xml:space="preserve">INT-E2E-002</t>
  </si>
  <si>
    <t xml:space="preserve">Integration scenario — Step 2: Custom field added</t>
  </si>
  <si>
    <t xml:space="preserve">Previous step passed</t>
  </si>
  <si>
    <t xml:space="preserve">1. Admin adds text field 'Equipment Code' to Asset entity, marks required</t>
  </si>
  <si>
    <t xml:space="preserve">Field on Asset form; saving without it fails at API level</t>
  </si>
  <si>
    <t xml:space="preserve">INT-E2E-003</t>
  </si>
  <si>
    <t xml:space="preserve">Integration scenario — Step 3: Workflow created</t>
  </si>
  <si>
    <t xml:space="preserve">1. Admin creates SR workflow: START → TASK (Supervisor) → END
2. Binds to SR_CREATED</t>
  </si>
  <si>
    <t xml:space="preserve">Workflow published; binding active</t>
  </si>
  <si>
    <t xml:space="preserve">INT-E2E-004</t>
  </si>
  <si>
    <t xml:space="preserve">Integration scenario — Step 4: SR created starts workflow</t>
  </si>
  <si>
    <t xml:space="preserve">1. testtech@eam.local creates Service Request</t>
  </si>
  <si>
    <t xml:space="preserve">Workflow instance starts; task created for Supervisor role</t>
  </si>
  <si>
    <t xml:space="preserve">INT-E2E-005</t>
  </si>
  <si>
    <t xml:space="preserve">Integration scenario — Step 5: In-app notification received</t>
  </si>
  <si>
    <t xml:space="preserve">1. Check Supervisor user's notifications</t>
  </si>
  <si>
    <t xml:space="preserve">In-app notification 'New SR task assigned' appears in bell within 5s</t>
  </si>
  <si>
    <t xml:space="preserve">INT-E2E-006</t>
  </si>
  <si>
    <t xml:space="preserve">Integration scenario — Step 6: Attachment uploaded + scanned</t>
  </si>
  <si>
    <t xml:space="preserve">1. testtech uploads PDF to SR
2. Wait for scan worker</t>
  </si>
  <si>
    <t xml:space="preserve">Attachment scan_status=CLEAN; download URL works</t>
  </si>
  <si>
    <t xml:space="preserve">INT-E2E-007</t>
  </si>
  <si>
    <t xml:space="preserve">Integration scenario — Step 7: Workflow task approved</t>
  </si>
  <si>
    <t xml:space="preserve">1. Supervisor approves task via SR workflow panel</t>
  </si>
  <si>
    <t xml:space="preserve">Instance status=COMPLETED; history shows APPROVED; SR status updated</t>
  </si>
  <si>
    <t xml:space="preserve">INT-E2E-008</t>
  </si>
  <si>
    <t xml:space="preserve">Integration scenario — Step 8: SR appears in report</t>
  </si>
  <si>
    <t xml:space="preserve">1. Admin runs Service Requests report
2. Exports PDF</t>
  </si>
  <si>
    <t xml:space="preserve">New SR in results; PDF export successful</t>
  </si>
  <si>
    <t xml:space="preserve">INT-E2E-009</t>
  </si>
  <si>
    <t xml:space="preserve">Integration scenario — Step 9: Dashboard KPI updates</t>
  </si>
  <si>
    <t xml:space="preserve">testtech dashboard has KPI tile 'My Open SRs'</t>
  </si>
  <si>
    <t xml:space="preserve">1. Check KPI tile value</t>
  </si>
  <si>
    <t xml:space="preserve">Count reflects newly created SR</t>
  </si>
  <si>
    <t xml:space="preserve">INT-E2E-010</t>
  </si>
  <si>
    <t xml:space="preserve">Integration scenario — Step 10: Chat with record link</t>
  </si>
  <si>
    <t xml:space="preserve">1. testtech sends chat message to Supervisor with SR link</t>
  </si>
  <si>
    <t xml:space="preserve">Message delivered &lt;2s; SR link renders in message; both parties see it</t>
  </si>
  <si>
    <t xml:space="preserve">  Performance / Load</t>
  </si>
  <si>
    <t xml:space="preserve">INT-P-001</t>
  </si>
  <si>
    <t xml:space="preserve">Performance / Load</t>
  </si>
  <si>
    <t xml:space="preserve">k6 load test — p50 &lt; 800ms</t>
  </si>
  <si>
    <t xml:space="preserve">k6 installed; staging environment running; 100 VUs</t>
  </si>
  <si>
    <t xml:space="preserve">Run k6 load-tests/phase0-baseline.js</t>
  </si>
  <si>
    <t xml:space="preserve">http_req_duration p(50) &lt; 800ms threshold met</t>
  </si>
  <si>
    <t xml:space="preserve">INT-P-002</t>
  </si>
  <si>
    <t xml:space="preserve">k6 load test — p95 &lt; 2000ms</t>
  </si>
  <si>
    <t xml:space="preserve">Same as above</t>
  </si>
  <si>
    <t xml:space="preserve">http_req_duration p(95) &lt; 2000ms threshold met</t>
  </si>
  <si>
    <t xml:space="preserve">INT-P-003</t>
  </si>
  <si>
    <t xml:space="preserve">k6 load test — error rate &lt; 1%</t>
  </si>
  <si>
    <t xml:space="preserve">http_req_failed &lt; 1% threshold met</t>
  </si>
  <si>
    <t xml:space="preserve">INT-P-004</t>
  </si>
  <si>
    <t xml:space="preserve">Dashboard widgets load independently under load</t>
  </si>
  <si>
    <t xml:space="preserve">100 concurrent users on dashboard</t>
  </si>
  <si>
    <t xml:space="preserve">Observe widget load order via browser perf trace</t>
  </si>
  <si>
    <t xml:space="preserve">No widget blocks another; each loads within its individual SLA</t>
  </si>
  <si>
    <t xml:space="preserve">INT-P-005</t>
  </si>
  <si>
    <t xml:space="preserve">5000 WebSocket connections held without degradation</t>
  </si>
  <si>
    <t xml:space="preserve">k6 WebSocket test script</t>
  </si>
  <si>
    <t xml:space="preserve">Connect 5000 clients; send heartbeat every 30s for 5 min</t>
  </si>
  <si>
    <t xml:space="preserve">All connections maintained; server memory stable; no OOM</t>
  </si>
  <si>
    <t xml:space="preserve">  Security Baseline</t>
  </si>
  <si>
    <t xml:space="preserve">INT-S-001</t>
  </si>
  <si>
    <t xml:space="preserve">Security Baseline</t>
  </si>
  <si>
    <t xml:space="preserve">Security headers present on all API responses</t>
  </si>
  <si>
    <t xml:space="preserve">Playwright security header check</t>
  </si>
  <si>
    <t xml:space="preserve">1. Make GET /auth/me
2. Inspect response headers</t>
  </si>
  <si>
    <t xml:space="preserve">X-Content-Type-Options, X-Frame-Options, Strict-Transport-Security, CSP all present</t>
  </si>
  <si>
    <t xml:space="preserve">INT-S-002</t>
  </si>
  <si>
    <t xml:space="preserve">JWT uses RS256 (not HS256)</t>
  </si>
  <si>
    <t xml:space="preserve">Login and get token</t>
  </si>
  <si>
    <t xml:space="preserve">1. Decode JWT header
2. Check alg field</t>
  </si>
  <si>
    <t xml:space="preserve">alg=RS256</t>
  </si>
  <si>
    <t xml:space="preserve">INT-S-003</t>
  </si>
  <si>
    <t xml:space="preserve">Rate limiting on /auth/* routes</t>
  </si>
  <si>
    <t xml:space="preserve">Unauthenticated client</t>
  </si>
  <si>
    <t xml:space="preserve">1. Send 101 POST /auth/login requests in 60s</t>
  </si>
  <si>
    <t xml:space="preserve">101st request returns 429 Too Many Requests</t>
  </si>
  <si>
    <t xml:space="preserve">INT-S-004</t>
  </si>
  <si>
    <t xml:space="preserve">CORS — requests from non-whitelisted origin rejected</t>
  </si>
  <si>
    <t xml:space="preserve">API running with ALLOWED_ORIGINS=https://eam.example.com</t>
  </si>
  <si>
    <t xml:space="preserve">1. Make API request with Origin: https://attacker.com</t>
  </si>
  <si>
    <t xml:space="preserve">Response has no Access-Control-Allow-Origin header; browser blocks request</t>
  </si>
  <si>
    <t xml:space="preserve">INT-S-005</t>
  </si>
  <si>
    <t xml:space="preserve">pnpm audit passes with no high/critical vulnerabilities</t>
  </si>
  <si>
    <t xml:space="preserve">CI pipeline</t>
  </si>
  <si>
    <t xml:space="preserve">1. Run pnpm audit --audit-level=high</t>
  </si>
  <si>
    <t xml:space="preserve">Exit code 0; no high or critical findings</t>
  </si>
  <si>
    <t xml:space="preserve">INT-S-006</t>
  </si>
  <si>
    <t xml:space="preserve">Audit log entries for all sensitive actions</t>
  </si>
  <si>
    <t xml:space="preserve">DB running</t>
  </si>
  <si>
    <t xml:space="preserve">1. Perform: login, failed login, role change, file download, DDL change
2. Query audit_logs</t>
  </si>
  <si>
    <t xml:space="preserve">Entry exists for each action with user_id, ip_address, action, timestamp</t>
  </si>
  <si>
    <t xml:space="preserve">INT-S-007</t>
  </si>
  <si>
    <t xml:space="preserve">File upload size limit enforced</t>
  </si>
  <si>
    <t xml:space="preserve">MAX_UPLOAD_MB=50</t>
  </si>
  <si>
    <t xml:space="preserve">1. Attempt presign for 60MB file</t>
  </si>
  <si>
    <t xml:space="preserve">422 with size_exceeded error; no presigned URL issued</t>
  </si>
  <si>
    <t xml:space="preserve">  Phase 0 Exit Gate</t>
  </si>
  <si>
    <t xml:space="preserve">INT-G-001</t>
  </si>
  <si>
    <t xml:space="preserve">Phase 0 Exit Gate</t>
  </si>
  <si>
    <t xml:space="preserve">Manual</t>
  </si>
  <si>
    <t xml:space="preserve">All P0-1 acceptance criteria passed</t>
  </si>
  <si>
    <t xml:space="preserve">P0-1 test sheet complete</t>
  </si>
  <si>
    <t xml:space="preserve">Review P0-1 sheet — all marked ✅ PASS or ⏭️ SKIP with justification</t>
  </si>
  <si>
    <t xml:space="preserve">0 ❌ FAIL in P0-1 sheet</t>
  </si>
  <si>
    <t xml:space="preserve">INT-G-002</t>
  </si>
  <si>
    <t xml:space="preserve">All P0-2 acceptance criteria passed</t>
  </si>
  <si>
    <t xml:space="preserve">Review P0-2 sheet</t>
  </si>
  <si>
    <t xml:space="preserve">0 ❌ FAIL in P0-2 sheet</t>
  </si>
  <si>
    <t xml:space="preserve">INT-G-003</t>
  </si>
  <si>
    <t xml:space="preserve">All P0-3 acceptance criteria passed</t>
  </si>
  <si>
    <t xml:space="preserve">Review P0-3 sheet</t>
  </si>
  <si>
    <t xml:space="preserve">0 ❌ FAIL in P0-3 sheet</t>
  </si>
  <si>
    <t xml:space="preserve">INT-G-004</t>
  </si>
  <si>
    <t xml:space="preserve">All P0-4 acceptance criteria passed</t>
  </si>
  <si>
    <t xml:space="preserve">Review P0-4 sheet</t>
  </si>
  <si>
    <t xml:space="preserve">0 ❌ FAIL in P0-4 sheet</t>
  </si>
  <si>
    <t xml:space="preserve">INT-G-005</t>
  </si>
  <si>
    <t xml:space="preserve">All P0-5 acceptance criteria passed</t>
  </si>
  <si>
    <t xml:space="preserve">Review P0-5 sheet</t>
  </si>
  <si>
    <t xml:space="preserve">0 ❌ FAIL in P0-5 sheet</t>
  </si>
  <si>
    <t xml:space="preserve">INT-G-006</t>
  </si>
  <si>
    <t xml:space="preserve">All P0-6 acceptance criteria passed</t>
  </si>
  <si>
    <t xml:space="preserve">Review P0-6 sheet</t>
  </si>
  <si>
    <t xml:space="preserve">0 ❌ FAIL in P0-6 sheet</t>
  </si>
  <si>
    <t xml:space="preserve">INT-G-007</t>
  </si>
  <si>
    <t xml:space="preserve">All P0-7 acceptance criteria passed</t>
  </si>
  <si>
    <t xml:space="preserve">Review P0-7 sheet</t>
  </si>
  <si>
    <t xml:space="preserve">0 ❌ FAIL in P0-7 sheet</t>
  </si>
  <si>
    <t xml:space="preserve">INT-G-008</t>
  </si>
  <si>
    <t xml:space="preserve">All P0-8 acceptance criteria passed</t>
  </si>
  <si>
    <t xml:space="preserve">Review P0-8 sheet</t>
  </si>
  <si>
    <t xml:space="preserve">0 ❌ FAIL in P0-8 sheet</t>
  </si>
  <si>
    <t xml:space="preserve">INT-G-009</t>
  </si>
  <si>
    <t xml:space="preserve">Load test all thresholds passing (INT-P-001 to INT-P-003)</t>
  </si>
  <si>
    <t xml:space="preserve">Run k6 test and confirm</t>
  </si>
  <si>
    <t xml:space="preserve">All 3 perf thresholds GREEN</t>
  </si>
  <si>
    <t xml:space="preserve">INT-G-010</t>
  </si>
  <si>
    <t xml:space="preserve">Security baseline complete (INT-S-001 to INT-S-007)</t>
  </si>
  <si>
    <t xml:space="preserve">Review INT-S tests</t>
  </si>
  <si>
    <t xml:space="preserve">All critical security tests PASS</t>
  </si>
  <si>
    <t xml:space="preserve">INT-G-011</t>
  </si>
  <si>
    <t xml:space="preserve">Engineering Lead + Product Sponsor sign-off</t>
  </si>
  <si>
    <t xml:space="preserve">Formal review meeting</t>
  </si>
  <si>
    <t xml:space="preserve">Sign-off recorded; Phase 1 sprint 1 scheduled</t>
  </si>
  <si>
    <t xml:space="preserve">EAM Phase 0 — Defect Log</t>
  </si>
  <si>
    <t xml:space="preserve">Defect ID</t>
  </si>
  <si>
    <t xml:space="preserve">Test Case ID</t>
  </si>
  <si>
    <t xml:space="preserve">Severity</t>
  </si>
  <si>
    <t xml:space="preserve">Title</t>
  </si>
  <si>
    <t xml:space="preserve">Steps to Reproduce</t>
  </si>
  <si>
    <t xml:space="preserve">Expected</t>
  </si>
  <si>
    <t xml:space="preserve">Actual</t>
  </si>
  <si>
    <t xml:space="preserve">Environment</t>
  </si>
  <si>
    <t xml:space="preserve">Assigned To</t>
  </si>
  <si>
    <t xml:space="preserve">Fix Version</t>
  </si>
  <si>
    <t xml:space="preserve">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</si>
</sst>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9.5"/>
      <color rgb="FF375623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.5"/>
      <color rgb="FF7F6000"/>
      <name val="Arial"/>
      <family val="0"/>
      <charset val="1"/>
    </font>
    <font>
      <b val="true"/>
      <sz val="9.5"/>
      <color rgb="FF2E75B6"/>
      <name val="Arial"/>
      <family val="0"/>
      <charset val="1"/>
    </font>
    <font>
      <b val="true"/>
      <sz val="9.5"/>
      <color rgb="FF1F3864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375623"/>
      <name val="Arial"/>
      <family val="0"/>
      <charset val="1"/>
    </font>
    <font>
      <sz val="9.5"/>
      <color rgb="FFC00000"/>
      <name val="Arial"/>
      <family val="0"/>
      <charset val="1"/>
    </font>
    <font>
      <sz val="9.5"/>
      <color rgb="FF7F6000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.5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1A5CA8"/>
      </patternFill>
    </fill>
    <fill>
      <patternFill patternType="solid">
        <fgColor rgb="FFF2F2F2"/>
        <bgColor rgb="FFE2EFDA"/>
      </patternFill>
    </fill>
    <fill>
      <patternFill patternType="solid">
        <fgColor rgb="FF1A5CA8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D6E4F7"/>
        <bgColor rgb="FFE2EFDA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E0E0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1A5C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8" min="5" style="0" width="8"/>
    <col collapsed="false" customWidth="true" hidden="false" outlineLevel="0" max="9" min="9" style="0" width="10"/>
    <col collapsed="false" customWidth="true" hidden="false" outlineLevel="0" max="10" min="10" style="0" width="14"/>
  </cols>
  <sheetData>
    <row r="1" customFormat="false" ht="7.5" hidden="false" customHeight="true" outlineLevel="0" collapsed="false"/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21.75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.75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21.75" hidden="false" customHeight="tru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21.75" hidden="false" customHeight="tru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9" customFormat="false" ht="18" hidden="false" customHeight="true" outlineLevel="0" collapsed="false">
      <c r="B9" s="2" t="s">
        <v>1</v>
      </c>
      <c r="C9" s="2"/>
      <c r="D9" s="2"/>
      <c r="E9" s="3" t="s">
        <v>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8" hidden="false" customHeight="true" outlineLevel="0" collapsed="false">
      <c r="B10" s="2" t="s">
        <v>3</v>
      </c>
      <c r="C10" s="2"/>
      <c r="D10" s="2"/>
      <c r="E10" s="3" t="s">
        <v>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8" hidden="false" customHeight="true" outlineLevel="0" collapsed="false">
      <c r="B11" s="2" t="s">
        <v>5</v>
      </c>
      <c r="C11" s="2"/>
      <c r="D11" s="2"/>
      <c r="E11" s="3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8" hidden="false" customHeight="true" outlineLevel="0" collapsed="false">
      <c r="B12" s="2" t="s">
        <v>7</v>
      </c>
      <c r="C12" s="2"/>
      <c r="D12" s="2"/>
      <c r="E12" s="3" t="s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8" hidden="false" customHeight="true" outlineLevel="0" collapsed="false">
      <c r="B13" s="2" t="s">
        <v>9</v>
      </c>
      <c r="C13" s="2"/>
      <c r="D13" s="2"/>
      <c r="E13" s="3" t="s">
        <v>10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8" hidden="false" customHeight="true" outlineLevel="0" collapsed="false">
      <c r="B14" s="2" t="s">
        <v>11</v>
      </c>
      <c r="C14" s="2"/>
      <c r="D14" s="2"/>
      <c r="E14" s="4" t="n">
        <f aca="false">COUNTA('🔐 P0-1 Identity'!B5:B500)+COUNTA('⚙️ P0-2 Config Engine'!B5:B500)+COUNTA('🔄 P0-3 Workflow'!B5:B500)+COUNTA('🔌 P0-4 Integration'!B5:B500)+COUNTA('📎 P0-5 Attachments'!B5:B500)+COUNTA('📊 P0-6 Reporting'!B5:B500)+COUNTA('🖥️ P0-7 Dashboard'!B5:B500)+COUNTA('📧 P0-8 Notifications'!B5:B500)+COUNTA('🧩 Integration Sprint'!B5:B500)</f>
        <v>166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6" customFormat="false" ht="12" hidden="false" customHeight="true" outlineLevel="0" collapsed="false"/>
    <row r="17" customFormat="false" ht="18" hidden="false" customHeight="true" outlineLevel="0" collapsed="false">
      <c r="B17" s="5" t="s">
        <v>12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9.5" hidden="false" customHeight="true" outlineLevel="0" collapsed="false">
      <c r="B18" s="6" t="s">
        <v>13</v>
      </c>
      <c r="C18" s="6"/>
      <c r="D18" s="7" t="s">
        <v>14</v>
      </c>
      <c r="E18" s="7"/>
      <c r="F18" s="8" t="s">
        <v>15</v>
      </c>
      <c r="G18" s="8"/>
      <c r="H18" s="9" t="s">
        <v>16</v>
      </c>
      <c r="I18" s="9"/>
      <c r="J18" s="10" t="s">
        <v>17</v>
      </c>
      <c r="K18" s="10"/>
      <c r="L18" s="8" t="s">
        <v>18</v>
      </c>
      <c r="M18" s="8"/>
    </row>
    <row r="20" customFormat="false" ht="12" hidden="false" customHeight="true" outlineLevel="0" collapsed="false"/>
    <row r="21" customFormat="false" ht="19.5" hidden="false" customHeight="true" outlineLevel="0" collapsed="false">
      <c r="B21" s="11" t="s">
        <v>19</v>
      </c>
      <c r="C21" s="11" t="s">
        <v>20</v>
      </c>
      <c r="D21" s="11" t="s">
        <v>11</v>
      </c>
      <c r="E21" s="11" t="s">
        <v>21</v>
      </c>
      <c r="F21" s="11" t="s">
        <v>22</v>
      </c>
      <c r="G21" s="11" t="s">
        <v>23</v>
      </c>
      <c r="H21" s="11" t="s">
        <v>24</v>
      </c>
      <c r="I21" s="11" t="s">
        <v>25</v>
      </c>
      <c r="J21" s="11" t="s">
        <v>26</v>
      </c>
    </row>
    <row r="22" customFormat="false" ht="18" hidden="false" customHeight="true" outlineLevel="0" collapsed="false">
      <c r="B22" s="12" t="s">
        <v>27</v>
      </c>
      <c r="C22" s="6" t="s">
        <v>28</v>
      </c>
      <c r="D22" s="13" t="n">
        <f aca="false">COUNTA('🔐 P0-1 Identity'!B5:B500)</f>
        <v>26</v>
      </c>
      <c r="E22" s="14" t="n">
        <f aca="false">COUNTIF('🔐 P0-1 Identity'!G5:G500,"✅ PASS")</f>
        <v>0</v>
      </c>
      <c r="F22" s="15" t="n">
        <f aca="false">COUNTIF('🔐 P0-1 Identity'!G5:G500,"❌ FAIL")</f>
        <v>0</v>
      </c>
      <c r="G22" s="16" t="n">
        <f aca="false">COUNTIF('🔐 P0-1 Identity'!G5:G500,"⏭️ SKIP")</f>
        <v>0</v>
      </c>
      <c r="H22" s="13" t="n">
        <f aca="false">COUNTIF('🔐 P0-1 Identity'!G5:G500,"⬜ NOT RUN")</f>
        <v>26</v>
      </c>
      <c r="J22" s="17" t="n">
        <f aca="false">IF(D22=0,0,E22/D22)</f>
        <v>0</v>
      </c>
      <c r="K22" s="13" t="str">
        <f aca="false">IF(F22&gt;0,"❌ FAIL",IF(H22&gt;0,"⬜ NOT RUN","✅ PASS"))</f>
        <v>⬜ NOT RUN</v>
      </c>
    </row>
    <row r="23" customFormat="false" ht="18" hidden="false" customHeight="true" outlineLevel="0" collapsed="false">
      <c r="B23" s="18" t="s">
        <v>29</v>
      </c>
      <c r="C23" s="19" t="s">
        <v>30</v>
      </c>
      <c r="D23" s="20" t="n">
        <f aca="false">COUNTA('⚙️ P0-2 Config Engine'!B5:B500)</f>
        <v>19</v>
      </c>
      <c r="E23" s="21" t="n">
        <f aca="false">COUNTIF('⚙️ P0-2 Config Engine'!G5:G500,"✅ PASS")</f>
        <v>0</v>
      </c>
      <c r="F23" s="22" t="n">
        <f aca="false">COUNTIF('⚙️ P0-2 Config Engine'!G5:G500,"❌ FAIL")</f>
        <v>0</v>
      </c>
      <c r="G23" s="23" t="n">
        <f aca="false">COUNTIF('⚙️ P0-2 Config Engine'!G5:G500,"⏭️ SKIP")</f>
        <v>0</v>
      </c>
      <c r="H23" s="20" t="n">
        <f aca="false">COUNTIF('⚙️ P0-2 Config Engine'!G5:G500,"⬜ NOT RUN")</f>
        <v>19</v>
      </c>
      <c r="J23" s="24" t="n">
        <f aca="false">IF(D23=0,0,E23/D23)</f>
        <v>0</v>
      </c>
      <c r="K23" s="20" t="str">
        <f aca="false">IF(F23&gt;0,"❌ FAIL",IF(H23&gt;0,"⬜ NOT RUN","✅ PASS"))</f>
        <v>⬜ NOT RUN</v>
      </c>
    </row>
    <row r="24" customFormat="false" ht="18" hidden="false" customHeight="true" outlineLevel="0" collapsed="false">
      <c r="B24" s="12" t="s">
        <v>31</v>
      </c>
      <c r="C24" s="6" t="s">
        <v>32</v>
      </c>
      <c r="D24" s="13" t="n">
        <f aca="false">COUNTA('🔄 P0-3 Workflow'!B5:B500)</f>
        <v>18</v>
      </c>
      <c r="E24" s="14" t="n">
        <f aca="false">COUNTIF('🔄 P0-3 Workflow'!G5:G500,"✅ PASS")</f>
        <v>0</v>
      </c>
      <c r="F24" s="15" t="n">
        <f aca="false">COUNTIF('🔄 P0-3 Workflow'!G5:G500,"❌ FAIL")</f>
        <v>0</v>
      </c>
      <c r="G24" s="16" t="n">
        <f aca="false">COUNTIF('🔄 P0-3 Workflow'!G5:G500,"⏭️ SKIP")</f>
        <v>0</v>
      </c>
      <c r="H24" s="13" t="n">
        <f aca="false">COUNTIF('🔄 P0-3 Workflow'!G5:G500,"⬜ NOT RUN")</f>
        <v>18</v>
      </c>
      <c r="J24" s="17" t="n">
        <f aca="false">IF(D24=0,0,E24/D24)</f>
        <v>0</v>
      </c>
      <c r="K24" s="13" t="str">
        <f aca="false">IF(F24&gt;0,"❌ FAIL",IF(H24&gt;0,"⬜ NOT RUN","✅ PASS"))</f>
        <v>⬜ NOT RUN</v>
      </c>
    </row>
    <row r="25" customFormat="false" ht="18" hidden="false" customHeight="true" outlineLevel="0" collapsed="false">
      <c r="B25" s="18" t="s">
        <v>33</v>
      </c>
      <c r="C25" s="19" t="s">
        <v>34</v>
      </c>
      <c r="D25" s="20" t="n">
        <f aca="false">COUNTA('🔌 P0-4 Integration'!B5:B500)</f>
        <v>13</v>
      </c>
      <c r="E25" s="21" t="n">
        <f aca="false">COUNTIF('🔌 P0-4 Integration'!G5:G500,"✅ PASS")</f>
        <v>0</v>
      </c>
      <c r="F25" s="22" t="n">
        <f aca="false">COUNTIF('🔌 P0-4 Integration'!G5:G500,"❌ FAIL")</f>
        <v>0</v>
      </c>
      <c r="G25" s="23" t="n">
        <f aca="false">COUNTIF('🔌 P0-4 Integration'!G5:G500,"⏭️ SKIP")</f>
        <v>0</v>
      </c>
      <c r="H25" s="20" t="n">
        <f aca="false">COUNTIF('🔌 P0-4 Integration'!G5:G500,"⬜ NOT RUN")</f>
        <v>13</v>
      </c>
      <c r="J25" s="24" t="n">
        <f aca="false">IF(D25=0,0,E25/D25)</f>
        <v>0</v>
      </c>
      <c r="K25" s="20" t="str">
        <f aca="false">IF(F25&gt;0,"❌ FAIL",IF(H25&gt;0,"⬜ NOT RUN","✅ PASS"))</f>
        <v>⬜ NOT RUN</v>
      </c>
    </row>
    <row r="26" customFormat="false" ht="18" hidden="false" customHeight="true" outlineLevel="0" collapsed="false">
      <c r="B26" s="12" t="s">
        <v>35</v>
      </c>
      <c r="C26" s="6" t="s">
        <v>36</v>
      </c>
      <c r="D26" s="13" t="n">
        <f aca="false">COUNTA('📎 P0-5 Attachments'!B5:B500)</f>
        <v>13</v>
      </c>
      <c r="E26" s="14" t="n">
        <f aca="false">COUNTIF('📎 P0-5 Attachments'!G5:G500,"✅ PASS")</f>
        <v>0</v>
      </c>
      <c r="F26" s="15" t="n">
        <f aca="false">COUNTIF('📎 P0-5 Attachments'!G5:G500,"❌ FAIL")</f>
        <v>0</v>
      </c>
      <c r="G26" s="16" t="n">
        <f aca="false">COUNTIF('📎 P0-5 Attachments'!G5:G500,"⏭️ SKIP")</f>
        <v>0</v>
      </c>
      <c r="H26" s="13" t="n">
        <f aca="false">COUNTIF('📎 P0-5 Attachments'!G5:G500,"⬜ NOT RUN")</f>
        <v>13</v>
      </c>
      <c r="J26" s="17" t="n">
        <f aca="false">IF(D26=0,0,E26/D26)</f>
        <v>0</v>
      </c>
      <c r="K26" s="13" t="str">
        <f aca="false">IF(F26&gt;0,"❌ FAIL",IF(H26&gt;0,"⬜ NOT RUN","✅ PASS"))</f>
        <v>⬜ NOT RUN</v>
      </c>
    </row>
    <row r="27" customFormat="false" ht="18" hidden="false" customHeight="true" outlineLevel="0" collapsed="false">
      <c r="B27" s="18" t="s">
        <v>37</v>
      </c>
      <c r="C27" s="19" t="s">
        <v>38</v>
      </c>
      <c r="D27" s="20" t="n">
        <f aca="false">COUNTA('📊 P0-6 Reporting'!B5:B500)</f>
        <v>14</v>
      </c>
      <c r="E27" s="21" t="n">
        <f aca="false">COUNTIF('📊 P0-6 Reporting'!G5:G500,"✅ PASS")</f>
        <v>0</v>
      </c>
      <c r="F27" s="22" t="n">
        <f aca="false">COUNTIF('📊 P0-6 Reporting'!G5:G500,"❌ FAIL")</f>
        <v>0</v>
      </c>
      <c r="G27" s="23" t="n">
        <f aca="false">COUNTIF('📊 P0-6 Reporting'!G5:G500,"⏭️ SKIP")</f>
        <v>0</v>
      </c>
      <c r="H27" s="20" t="n">
        <f aca="false">COUNTIF('📊 P0-6 Reporting'!G5:G500,"⬜ NOT RUN")</f>
        <v>14</v>
      </c>
      <c r="J27" s="24" t="n">
        <f aca="false">IF(D27=0,0,E27/D27)</f>
        <v>0</v>
      </c>
      <c r="K27" s="20" t="str">
        <f aca="false">IF(F27&gt;0,"❌ FAIL",IF(H27&gt;0,"⬜ NOT RUN","✅ PASS"))</f>
        <v>⬜ NOT RUN</v>
      </c>
    </row>
    <row r="28" customFormat="false" ht="18" hidden="false" customHeight="true" outlineLevel="0" collapsed="false">
      <c r="B28" s="12" t="s">
        <v>39</v>
      </c>
      <c r="C28" s="6" t="s">
        <v>40</v>
      </c>
      <c r="D28" s="13" t="n">
        <f aca="false">COUNTA('🖥️ P0-7 Dashboard'!B5:B500)</f>
        <v>14</v>
      </c>
      <c r="E28" s="14" t="n">
        <f aca="false">COUNTIF('🖥️ P0-7 Dashboard'!G5:G500,"✅ PASS")</f>
        <v>0</v>
      </c>
      <c r="F28" s="15" t="n">
        <f aca="false">COUNTIF('🖥️ P0-7 Dashboard'!G5:G500,"❌ FAIL")</f>
        <v>0</v>
      </c>
      <c r="G28" s="16" t="n">
        <f aca="false">COUNTIF('🖥️ P0-7 Dashboard'!G5:G500,"⏭️ SKIP")</f>
        <v>0</v>
      </c>
      <c r="H28" s="13" t="n">
        <f aca="false">COUNTIF('🖥️ P0-7 Dashboard'!G5:G500,"⬜ NOT RUN")</f>
        <v>14</v>
      </c>
      <c r="J28" s="17" t="n">
        <f aca="false">IF(D28=0,0,E28/D28)</f>
        <v>0</v>
      </c>
      <c r="K28" s="13" t="str">
        <f aca="false">IF(F28&gt;0,"❌ FAIL",IF(H28&gt;0,"⬜ NOT RUN","✅ PASS"))</f>
        <v>⬜ NOT RUN</v>
      </c>
    </row>
    <row r="29" customFormat="false" ht="18" hidden="false" customHeight="true" outlineLevel="0" collapsed="false">
      <c r="B29" s="18" t="s">
        <v>41</v>
      </c>
      <c r="C29" s="19" t="s">
        <v>42</v>
      </c>
      <c r="D29" s="20" t="n">
        <f aca="false">COUNTA('📧 P0-8 Notifications'!B5:B500)</f>
        <v>16</v>
      </c>
      <c r="E29" s="21" t="n">
        <f aca="false">COUNTIF('📧 P0-8 Notifications'!G5:G500,"✅ PASS")</f>
        <v>0</v>
      </c>
      <c r="F29" s="22" t="n">
        <f aca="false">COUNTIF('📧 P0-8 Notifications'!G5:G500,"❌ FAIL")</f>
        <v>0</v>
      </c>
      <c r="G29" s="23" t="n">
        <f aca="false">COUNTIF('📧 P0-8 Notifications'!G5:G500,"⏭️ SKIP")</f>
        <v>0</v>
      </c>
      <c r="H29" s="20" t="n">
        <f aca="false">COUNTIF('📧 P0-8 Notifications'!G5:G500,"⬜ NOT RUN")</f>
        <v>16</v>
      </c>
      <c r="J29" s="24" t="n">
        <f aca="false">IF(D29=0,0,E29/D29)</f>
        <v>0</v>
      </c>
      <c r="K29" s="20" t="str">
        <f aca="false">IF(F29&gt;0,"❌ FAIL",IF(H29&gt;0,"⬜ NOT RUN","✅ PASS"))</f>
        <v>⬜ NOT RUN</v>
      </c>
    </row>
    <row r="30" customFormat="false" ht="18" hidden="false" customHeight="true" outlineLevel="0" collapsed="false">
      <c r="B30" s="12" t="s">
        <v>43</v>
      </c>
      <c r="C30" s="6" t="s">
        <v>44</v>
      </c>
      <c r="D30" s="13" t="n">
        <f aca="false">COUNTA('🧩 Integration Sprint'!B5:B500)</f>
        <v>33</v>
      </c>
      <c r="E30" s="14" t="n">
        <f aca="false">COUNTIF('🧩 Integration Sprint'!G5:G500,"✅ PASS")</f>
        <v>0</v>
      </c>
      <c r="F30" s="15" t="n">
        <f aca="false">COUNTIF('🧩 Integration Sprint'!G5:G500,"❌ FAIL")</f>
        <v>0</v>
      </c>
      <c r="G30" s="16" t="n">
        <f aca="false">COUNTIF('🧩 Integration Sprint'!G5:G500,"⏭️ SKIP")</f>
        <v>0</v>
      </c>
      <c r="H30" s="13" t="n">
        <f aca="false">COUNTIF('🧩 Integration Sprint'!G5:G500,"⬜ NOT RUN")</f>
        <v>33</v>
      </c>
      <c r="J30" s="17" t="n">
        <f aca="false">IF(D30=0,0,E30/D30)</f>
        <v>0</v>
      </c>
      <c r="K30" s="13" t="str">
        <f aca="false">IF(F30&gt;0,"❌ FAIL",IF(H30&gt;0,"⬜ NOT RUN","✅ PASS"))</f>
        <v>⬜ NOT RUN</v>
      </c>
    </row>
    <row r="31" customFormat="false" ht="19.5" hidden="false" customHeight="true" outlineLevel="0" collapsed="false">
      <c r="B31" s="25" t="s">
        <v>45</v>
      </c>
      <c r="C31" s="26"/>
      <c r="D31" s="27" t="n">
        <f aca="false">SUM(D22:D30)</f>
        <v>166</v>
      </c>
      <c r="E31" s="27" t="n">
        <f aca="false">SUM(E22:E30)</f>
        <v>0</v>
      </c>
      <c r="F31" s="27" t="n">
        <f aca="false">SUM(F22:F30)</f>
        <v>0</v>
      </c>
      <c r="G31" s="27" t="n">
        <f aca="false">SUM(G22:G30)</f>
        <v>0</v>
      </c>
      <c r="H31" s="27" t="n">
        <f aca="false">SUM(H22:H30)</f>
        <v>166</v>
      </c>
      <c r="I31" s="28" t="n">
        <f aca="false">IF(D31=0,0,E31/D31)</f>
        <v>0</v>
      </c>
      <c r="J31" s="27" t="str">
        <f aca="false">IF(F31&gt;0,"❌ FAIL",IF(H31&gt;0,"⬜ NOT RUN","✅ PASS"))</f>
        <v>⬜ NOT RUN</v>
      </c>
    </row>
  </sheetData>
  <mergeCells count="20">
    <mergeCell ref="B2:P7"/>
    <mergeCell ref="B9:D9"/>
    <mergeCell ref="E9:P9"/>
    <mergeCell ref="B10:D10"/>
    <mergeCell ref="E10:P10"/>
    <mergeCell ref="B11:D11"/>
    <mergeCell ref="E11:P11"/>
    <mergeCell ref="B12:D12"/>
    <mergeCell ref="E12:P12"/>
    <mergeCell ref="B13:D13"/>
    <mergeCell ref="E13:P13"/>
    <mergeCell ref="B14:D14"/>
    <mergeCell ref="E14:P14"/>
    <mergeCell ref="B17:P17"/>
    <mergeCell ref="B18:C18"/>
    <mergeCell ref="D18:E18"/>
    <mergeCell ref="F18:G18"/>
    <mergeCell ref="H18:I18"/>
    <mergeCell ref="J18:K18"/>
    <mergeCell ref="L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47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61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62</v>
      </c>
      <c r="C6" s="33" t="s">
        <v>63</v>
      </c>
      <c r="D6" s="34" t="s">
        <v>64</v>
      </c>
      <c r="E6" s="35" t="s">
        <v>65</v>
      </c>
      <c r="F6" s="36" t="s">
        <v>66</v>
      </c>
      <c r="G6" s="34" t="s">
        <v>13</v>
      </c>
      <c r="H6" s="37" t="s">
        <v>67</v>
      </c>
      <c r="I6" s="37" t="s">
        <v>68</v>
      </c>
      <c r="J6" s="37" t="s">
        <v>69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70</v>
      </c>
      <c r="C7" s="39" t="s">
        <v>63</v>
      </c>
      <c r="D7" s="40" t="s">
        <v>64</v>
      </c>
      <c r="E7" s="41" t="s">
        <v>65</v>
      </c>
      <c r="F7" s="42" t="s">
        <v>71</v>
      </c>
      <c r="G7" s="40" t="s">
        <v>13</v>
      </c>
      <c r="H7" s="43" t="s">
        <v>72</v>
      </c>
      <c r="I7" s="43" t="s">
        <v>73</v>
      </c>
      <c r="J7" s="43" t="s">
        <v>74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75</v>
      </c>
      <c r="C8" s="33" t="s">
        <v>63</v>
      </c>
      <c r="D8" s="34" t="s">
        <v>64</v>
      </c>
      <c r="E8" s="35" t="s">
        <v>65</v>
      </c>
      <c r="F8" s="36" t="s">
        <v>76</v>
      </c>
      <c r="G8" s="34" t="s">
        <v>13</v>
      </c>
      <c r="H8" s="37" t="s">
        <v>77</v>
      </c>
      <c r="I8" s="37" t="s">
        <v>78</v>
      </c>
      <c r="J8" s="37" t="s">
        <v>79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80</v>
      </c>
      <c r="C9" s="39" t="s">
        <v>63</v>
      </c>
      <c r="D9" s="40" t="s">
        <v>64</v>
      </c>
      <c r="E9" s="45" t="s">
        <v>81</v>
      </c>
      <c r="F9" s="42" t="s">
        <v>82</v>
      </c>
      <c r="G9" s="40" t="s">
        <v>13</v>
      </c>
      <c r="H9" s="43" t="s">
        <v>83</v>
      </c>
      <c r="I9" s="43" t="s">
        <v>84</v>
      </c>
      <c r="J9" s="43" t="s">
        <v>85</v>
      </c>
      <c r="K9" s="43"/>
      <c r="L9" s="43"/>
      <c r="M9" s="43"/>
      <c r="N9" s="44"/>
    </row>
    <row r="10" customFormat="false" ht="60" hidden="false" customHeight="true" outlineLevel="0" collapsed="false">
      <c r="A10" s="13" t="n">
        <v>5</v>
      </c>
      <c r="B10" s="12" t="s">
        <v>86</v>
      </c>
      <c r="C10" s="33" t="s">
        <v>63</v>
      </c>
      <c r="D10" s="34" t="s">
        <v>87</v>
      </c>
      <c r="E10" s="35" t="s">
        <v>65</v>
      </c>
      <c r="F10" s="36" t="s">
        <v>88</v>
      </c>
      <c r="G10" s="34" t="s">
        <v>13</v>
      </c>
      <c r="H10" s="37" t="s">
        <v>89</v>
      </c>
      <c r="I10" s="37" t="s">
        <v>90</v>
      </c>
      <c r="J10" s="37" t="s">
        <v>91</v>
      </c>
      <c r="K10" s="37"/>
      <c r="L10" s="37"/>
      <c r="M10" s="37"/>
      <c r="N10" s="38"/>
    </row>
    <row r="11" customFormat="false" ht="60" hidden="false" customHeight="true" outlineLevel="0" collapsed="false">
      <c r="A11" s="20" t="n">
        <v>6</v>
      </c>
      <c r="B11" s="18" t="s">
        <v>92</v>
      </c>
      <c r="C11" s="39" t="s">
        <v>63</v>
      </c>
      <c r="D11" s="40" t="s">
        <v>87</v>
      </c>
      <c r="E11" s="41" t="s">
        <v>65</v>
      </c>
      <c r="F11" s="42" t="s">
        <v>93</v>
      </c>
      <c r="G11" s="40" t="s">
        <v>13</v>
      </c>
      <c r="H11" s="43" t="s">
        <v>94</v>
      </c>
      <c r="I11" s="43" t="s">
        <v>95</v>
      </c>
      <c r="J11" s="43" t="s">
        <v>96</v>
      </c>
      <c r="K11" s="43"/>
      <c r="L11" s="43"/>
      <c r="M11" s="43"/>
      <c r="N11" s="44"/>
    </row>
    <row r="12" customFormat="false" ht="60" hidden="false" customHeight="true" outlineLevel="0" collapsed="false">
      <c r="A12" s="13" t="n">
        <v>7</v>
      </c>
      <c r="B12" s="12" t="s">
        <v>97</v>
      </c>
      <c r="C12" s="33" t="s">
        <v>63</v>
      </c>
      <c r="D12" s="34" t="s">
        <v>87</v>
      </c>
      <c r="E12" s="46" t="s">
        <v>81</v>
      </c>
      <c r="F12" s="36" t="s">
        <v>98</v>
      </c>
      <c r="G12" s="34" t="s">
        <v>13</v>
      </c>
      <c r="H12" s="37" t="s">
        <v>99</v>
      </c>
      <c r="I12" s="37" t="s">
        <v>100</v>
      </c>
      <c r="J12" s="37" t="s">
        <v>101</v>
      </c>
      <c r="K12" s="37"/>
      <c r="L12" s="37"/>
      <c r="M12" s="37"/>
      <c r="N12" s="38"/>
    </row>
    <row r="13" customFormat="false" ht="15.75" hidden="false" customHeight="true" outlineLevel="0" collapsed="false">
      <c r="A13" s="32" t="s">
        <v>102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customFormat="false" ht="60" hidden="false" customHeight="true" outlineLevel="0" collapsed="false">
      <c r="A14" s="13" t="n">
        <v>1</v>
      </c>
      <c r="B14" s="12" t="s">
        <v>103</v>
      </c>
      <c r="C14" s="33" t="s">
        <v>104</v>
      </c>
      <c r="D14" s="34" t="s">
        <v>87</v>
      </c>
      <c r="E14" s="35" t="s">
        <v>65</v>
      </c>
      <c r="F14" s="36" t="s">
        <v>105</v>
      </c>
      <c r="G14" s="34" t="s">
        <v>13</v>
      </c>
      <c r="H14" s="37" t="s">
        <v>106</v>
      </c>
      <c r="I14" s="37" t="s">
        <v>107</v>
      </c>
      <c r="J14" s="37" t="s">
        <v>108</v>
      </c>
      <c r="K14" s="37"/>
      <c r="L14" s="37"/>
      <c r="M14" s="37"/>
      <c r="N14" s="38"/>
    </row>
    <row r="15" customFormat="false" ht="60" hidden="false" customHeight="true" outlineLevel="0" collapsed="false">
      <c r="A15" s="20" t="n">
        <v>2</v>
      </c>
      <c r="B15" s="18" t="s">
        <v>109</v>
      </c>
      <c r="C15" s="39" t="s">
        <v>104</v>
      </c>
      <c r="D15" s="40" t="s">
        <v>87</v>
      </c>
      <c r="E15" s="41" t="s">
        <v>65</v>
      </c>
      <c r="F15" s="42" t="s">
        <v>110</v>
      </c>
      <c r="G15" s="40" t="s">
        <v>13</v>
      </c>
      <c r="H15" s="43" t="s">
        <v>111</v>
      </c>
      <c r="I15" s="43" t="s">
        <v>112</v>
      </c>
      <c r="J15" s="43" t="s">
        <v>113</v>
      </c>
      <c r="K15" s="43"/>
      <c r="L15" s="43"/>
      <c r="M15" s="43"/>
      <c r="N15" s="44"/>
    </row>
    <row r="16" customFormat="false" ht="60" hidden="false" customHeight="true" outlineLevel="0" collapsed="false">
      <c r="A16" s="13" t="n">
        <v>3</v>
      </c>
      <c r="B16" s="12" t="s">
        <v>114</v>
      </c>
      <c r="C16" s="33" t="s">
        <v>104</v>
      </c>
      <c r="D16" s="34" t="s">
        <v>87</v>
      </c>
      <c r="E16" s="46" t="s">
        <v>81</v>
      </c>
      <c r="F16" s="36" t="s">
        <v>115</v>
      </c>
      <c r="G16" s="34" t="s">
        <v>13</v>
      </c>
      <c r="H16" s="37" t="s">
        <v>116</v>
      </c>
      <c r="I16" s="37" t="s">
        <v>117</v>
      </c>
      <c r="J16" s="37" t="s">
        <v>118</v>
      </c>
      <c r="K16" s="37"/>
      <c r="L16" s="37"/>
      <c r="M16" s="37"/>
      <c r="N16" s="38"/>
    </row>
    <row r="17" customFormat="false" ht="60" hidden="false" customHeight="true" outlineLevel="0" collapsed="false">
      <c r="A17" s="20" t="n">
        <v>4</v>
      </c>
      <c r="B17" s="18" t="s">
        <v>119</v>
      </c>
      <c r="C17" s="39" t="s">
        <v>104</v>
      </c>
      <c r="D17" s="40" t="s">
        <v>87</v>
      </c>
      <c r="E17" s="45" t="s">
        <v>81</v>
      </c>
      <c r="F17" s="42" t="s">
        <v>120</v>
      </c>
      <c r="G17" s="40" t="s">
        <v>13</v>
      </c>
      <c r="H17" s="43" t="s">
        <v>121</v>
      </c>
      <c r="I17" s="43" t="s">
        <v>122</v>
      </c>
      <c r="J17" s="43" t="s">
        <v>123</v>
      </c>
      <c r="K17" s="43"/>
      <c r="L17" s="43"/>
      <c r="M17" s="43"/>
      <c r="N17" s="44"/>
    </row>
    <row r="18" customFormat="false" ht="60" hidden="false" customHeight="true" outlineLevel="0" collapsed="false">
      <c r="A18" s="13" t="n">
        <v>5</v>
      </c>
      <c r="B18" s="12" t="s">
        <v>124</v>
      </c>
      <c r="C18" s="33" t="s">
        <v>104</v>
      </c>
      <c r="D18" s="34" t="s">
        <v>64</v>
      </c>
      <c r="E18" s="34" t="s">
        <v>125</v>
      </c>
      <c r="F18" s="36" t="s">
        <v>126</v>
      </c>
      <c r="G18" s="34" t="s">
        <v>13</v>
      </c>
      <c r="H18" s="37" t="s">
        <v>111</v>
      </c>
      <c r="I18" s="37" t="s">
        <v>127</v>
      </c>
      <c r="J18" s="37" t="s">
        <v>128</v>
      </c>
      <c r="K18" s="37"/>
      <c r="L18" s="37"/>
      <c r="M18" s="37"/>
      <c r="N18" s="38"/>
    </row>
    <row r="19" customFormat="false" ht="15.75" hidden="false" customHeight="true" outlineLevel="0" collapsed="false">
      <c r="A19" s="32" t="s">
        <v>129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customFormat="false" ht="60" hidden="false" customHeight="true" outlineLevel="0" collapsed="false">
      <c r="A20" s="13" t="n">
        <v>1</v>
      </c>
      <c r="B20" s="12" t="s">
        <v>130</v>
      </c>
      <c r="C20" s="33" t="s">
        <v>131</v>
      </c>
      <c r="D20" s="34" t="s">
        <v>87</v>
      </c>
      <c r="E20" s="35" t="s">
        <v>65</v>
      </c>
      <c r="F20" s="36" t="s">
        <v>132</v>
      </c>
      <c r="G20" s="34" t="s">
        <v>13</v>
      </c>
      <c r="H20" s="37" t="s">
        <v>133</v>
      </c>
      <c r="I20" s="37" t="s">
        <v>134</v>
      </c>
      <c r="J20" s="37" t="s">
        <v>135</v>
      </c>
      <c r="K20" s="37"/>
      <c r="L20" s="37"/>
      <c r="M20" s="37"/>
      <c r="N20" s="38"/>
    </row>
    <row r="21" customFormat="false" ht="60" hidden="false" customHeight="true" outlineLevel="0" collapsed="false">
      <c r="A21" s="20" t="n">
        <v>2</v>
      </c>
      <c r="B21" s="18" t="s">
        <v>136</v>
      </c>
      <c r="C21" s="39" t="s">
        <v>131</v>
      </c>
      <c r="D21" s="40" t="s">
        <v>87</v>
      </c>
      <c r="E21" s="41" t="s">
        <v>65</v>
      </c>
      <c r="F21" s="42" t="s">
        <v>137</v>
      </c>
      <c r="G21" s="40" t="s">
        <v>13</v>
      </c>
      <c r="H21" s="43" t="s">
        <v>138</v>
      </c>
      <c r="I21" s="43" t="s">
        <v>139</v>
      </c>
      <c r="J21" s="43" t="s">
        <v>140</v>
      </c>
      <c r="K21" s="43"/>
      <c r="L21" s="43"/>
      <c r="M21" s="43"/>
      <c r="N21" s="44"/>
    </row>
    <row r="22" customFormat="false" ht="60" hidden="false" customHeight="true" outlineLevel="0" collapsed="false">
      <c r="A22" s="13" t="n">
        <v>3</v>
      </c>
      <c r="B22" s="12" t="s">
        <v>141</v>
      </c>
      <c r="C22" s="33" t="s">
        <v>131</v>
      </c>
      <c r="D22" s="34" t="s">
        <v>87</v>
      </c>
      <c r="E22" s="46" t="s">
        <v>81</v>
      </c>
      <c r="F22" s="36" t="s">
        <v>142</v>
      </c>
      <c r="G22" s="34" t="s">
        <v>13</v>
      </c>
      <c r="H22" s="37" t="s">
        <v>143</v>
      </c>
      <c r="I22" s="37" t="s">
        <v>144</v>
      </c>
      <c r="J22" s="37" t="s">
        <v>145</v>
      </c>
      <c r="K22" s="37"/>
      <c r="L22" s="37"/>
      <c r="M22" s="37"/>
      <c r="N22" s="38"/>
    </row>
    <row r="23" customFormat="false" ht="60" hidden="false" customHeight="true" outlineLevel="0" collapsed="false">
      <c r="A23" s="20" t="n">
        <v>4</v>
      </c>
      <c r="B23" s="18" t="s">
        <v>146</v>
      </c>
      <c r="C23" s="39" t="s">
        <v>131</v>
      </c>
      <c r="D23" s="40" t="s">
        <v>87</v>
      </c>
      <c r="E23" s="45" t="s">
        <v>81</v>
      </c>
      <c r="F23" s="42" t="s">
        <v>147</v>
      </c>
      <c r="G23" s="40" t="s">
        <v>13</v>
      </c>
      <c r="H23" s="43" t="s">
        <v>148</v>
      </c>
      <c r="I23" s="43" t="s">
        <v>149</v>
      </c>
      <c r="J23" s="43" t="s">
        <v>150</v>
      </c>
      <c r="K23" s="43"/>
      <c r="L23" s="43"/>
      <c r="M23" s="43"/>
      <c r="N23" s="44"/>
    </row>
    <row r="24" customFormat="false" ht="60" hidden="false" customHeight="true" outlineLevel="0" collapsed="false">
      <c r="A24" s="13" t="n">
        <v>5</v>
      </c>
      <c r="B24" s="12" t="s">
        <v>151</v>
      </c>
      <c r="C24" s="33" t="s">
        <v>131</v>
      </c>
      <c r="D24" s="34" t="s">
        <v>87</v>
      </c>
      <c r="E24" s="34" t="s">
        <v>125</v>
      </c>
      <c r="F24" s="36" t="s">
        <v>152</v>
      </c>
      <c r="G24" s="34" t="s">
        <v>13</v>
      </c>
      <c r="H24" s="37" t="s">
        <v>153</v>
      </c>
      <c r="I24" s="37" t="s">
        <v>154</v>
      </c>
      <c r="J24" s="37" t="s">
        <v>155</v>
      </c>
      <c r="K24" s="37"/>
      <c r="L24" s="37"/>
      <c r="M24" s="37"/>
      <c r="N24" s="38"/>
    </row>
    <row r="25" customFormat="false" ht="15.75" hidden="false" customHeight="true" outlineLevel="0" collapsed="false">
      <c r="A25" s="32" t="s">
        <v>156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customFormat="false" ht="60" hidden="false" customHeight="true" outlineLevel="0" collapsed="false">
      <c r="A26" s="13" t="n">
        <v>1</v>
      </c>
      <c r="B26" s="12" t="s">
        <v>157</v>
      </c>
      <c r="C26" s="33" t="s">
        <v>158</v>
      </c>
      <c r="D26" s="34" t="s">
        <v>159</v>
      </c>
      <c r="E26" s="35" t="s">
        <v>65</v>
      </c>
      <c r="F26" s="36" t="s">
        <v>160</v>
      </c>
      <c r="G26" s="34" t="s">
        <v>13</v>
      </c>
      <c r="H26" s="37" t="s">
        <v>161</v>
      </c>
      <c r="I26" s="37" t="s">
        <v>162</v>
      </c>
      <c r="J26" s="37" t="s">
        <v>163</v>
      </c>
      <c r="K26" s="37"/>
      <c r="L26" s="37"/>
      <c r="M26" s="37"/>
      <c r="N26" s="38"/>
    </row>
    <row r="27" customFormat="false" ht="60" hidden="false" customHeight="true" outlineLevel="0" collapsed="false">
      <c r="A27" s="20" t="n">
        <v>2</v>
      </c>
      <c r="B27" s="18" t="s">
        <v>164</v>
      </c>
      <c r="C27" s="39" t="s">
        <v>158</v>
      </c>
      <c r="D27" s="40" t="s">
        <v>159</v>
      </c>
      <c r="E27" s="45" t="s">
        <v>81</v>
      </c>
      <c r="F27" s="42" t="s">
        <v>165</v>
      </c>
      <c r="G27" s="40" t="s">
        <v>13</v>
      </c>
      <c r="H27" s="43" t="s">
        <v>166</v>
      </c>
      <c r="I27" s="43" t="s">
        <v>167</v>
      </c>
      <c r="J27" s="43" t="s">
        <v>168</v>
      </c>
      <c r="K27" s="43"/>
      <c r="L27" s="43"/>
      <c r="M27" s="43"/>
      <c r="N27" s="44"/>
    </row>
    <row r="28" customFormat="false" ht="60" hidden="false" customHeight="true" outlineLevel="0" collapsed="false">
      <c r="A28" s="13" t="n">
        <v>3</v>
      </c>
      <c r="B28" s="12" t="s">
        <v>169</v>
      </c>
      <c r="C28" s="33" t="s">
        <v>158</v>
      </c>
      <c r="D28" s="34" t="s">
        <v>87</v>
      </c>
      <c r="E28" s="46" t="s">
        <v>81</v>
      </c>
      <c r="F28" s="36" t="s">
        <v>170</v>
      </c>
      <c r="G28" s="34" t="s">
        <v>13</v>
      </c>
      <c r="H28" s="37" t="s">
        <v>171</v>
      </c>
      <c r="I28" s="37" t="s">
        <v>172</v>
      </c>
      <c r="J28" s="37" t="s">
        <v>173</v>
      </c>
      <c r="K28" s="37"/>
      <c r="L28" s="37"/>
      <c r="M28" s="37"/>
      <c r="N28" s="38"/>
    </row>
    <row r="29" customFormat="false" ht="60" hidden="false" customHeight="true" outlineLevel="0" collapsed="false">
      <c r="A29" s="20" t="n">
        <v>4</v>
      </c>
      <c r="B29" s="18" t="s">
        <v>174</v>
      </c>
      <c r="C29" s="39" t="s">
        <v>158</v>
      </c>
      <c r="D29" s="40" t="s">
        <v>175</v>
      </c>
      <c r="E29" s="40" t="s">
        <v>125</v>
      </c>
      <c r="F29" s="42" t="s">
        <v>176</v>
      </c>
      <c r="G29" s="40" t="s">
        <v>13</v>
      </c>
      <c r="H29" s="43" t="s">
        <v>177</v>
      </c>
      <c r="I29" s="43" t="s">
        <v>178</v>
      </c>
      <c r="J29" s="43" t="s">
        <v>179</v>
      </c>
      <c r="K29" s="43"/>
      <c r="L29" s="43"/>
      <c r="M29" s="43"/>
      <c r="N29" s="44"/>
    </row>
    <row r="30" customFormat="false" ht="15.75" hidden="false" customHeight="true" outlineLevel="0" collapsed="false">
      <c r="A30" s="32" t="s">
        <v>180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customFormat="false" ht="60" hidden="false" customHeight="true" outlineLevel="0" collapsed="false">
      <c r="A31" s="13" t="n">
        <v>1</v>
      </c>
      <c r="B31" s="12" t="s">
        <v>181</v>
      </c>
      <c r="C31" s="33" t="s">
        <v>182</v>
      </c>
      <c r="D31" s="34" t="s">
        <v>87</v>
      </c>
      <c r="E31" s="35" t="s">
        <v>65</v>
      </c>
      <c r="F31" s="36" t="s">
        <v>183</v>
      </c>
      <c r="G31" s="34" t="s">
        <v>13</v>
      </c>
      <c r="H31" s="37" t="s">
        <v>184</v>
      </c>
      <c r="I31" s="37" t="s">
        <v>185</v>
      </c>
      <c r="J31" s="37" t="s">
        <v>186</v>
      </c>
      <c r="K31" s="37"/>
      <c r="L31" s="37"/>
      <c r="M31" s="37"/>
      <c r="N31" s="38"/>
    </row>
    <row r="32" customFormat="false" ht="60" hidden="false" customHeight="true" outlineLevel="0" collapsed="false">
      <c r="A32" s="20" t="n">
        <v>2</v>
      </c>
      <c r="B32" s="18" t="s">
        <v>187</v>
      </c>
      <c r="C32" s="39" t="s">
        <v>182</v>
      </c>
      <c r="D32" s="40" t="s">
        <v>87</v>
      </c>
      <c r="E32" s="41" t="s">
        <v>65</v>
      </c>
      <c r="F32" s="42" t="s">
        <v>188</v>
      </c>
      <c r="G32" s="40" t="s">
        <v>13</v>
      </c>
      <c r="H32" s="43" t="s">
        <v>189</v>
      </c>
      <c r="I32" s="43" t="s">
        <v>190</v>
      </c>
      <c r="J32" s="43" t="s">
        <v>191</v>
      </c>
      <c r="K32" s="43"/>
      <c r="L32" s="43"/>
      <c r="M32" s="43"/>
      <c r="N32" s="44"/>
    </row>
    <row r="33" customFormat="false" ht="60" hidden="false" customHeight="true" outlineLevel="0" collapsed="false">
      <c r="A33" s="13" t="n">
        <v>3</v>
      </c>
      <c r="B33" s="12" t="s">
        <v>192</v>
      </c>
      <c r="C33" s="33" t="s">
        <v>182</v>
      </c>
      <c r="D33" s="34" t="s">
        <v>87</v>
      </c>
      <c r="E33" s="46" t="s">
        <v>81</v>
      </c>
      <c r="F33" s="36" t="s">
        <v>193</v>
      </c>
      <c r="G33" s="34" t="s">
        <v>13</v>
      </c>
      <c r="H33" s="37" t="s">
        <v>194</v>
      </c>
      <c r="I33" s="37" t="s">
        <v>195</v>
      </c>
      <c r="J33" s="37" t="s">
        <v>196</v>
      </c>
      <c r="K33" s="37"/>
      <c r="L33" s="37"/>
      <c r="M33" s="37"/>
      <c r="N33" s="38"/>
    </row>
    <row r="34" customFormat="false" ht="60" hidden="false" customHeight="true" outlineLevel="0" collapsed="false">
      <c r="A34" s="20" t="n">
        <v>4</v>
      </c>
      <c r="B34" s="18" t="s">
        <v>197</v>
      </c>
      <c r="C34" s="39" t="s">
        <v>182</v>
      </c>
      <c r="D34" s="40" t="s">
        <v>198</v>
      </c>
      <c r="E34" s="41" t="s">
        <v>65</v>
      </c>
      <c r="F34" s="42" t="s">
        <v>199</v>
      </c>
      <c r="G34" s="40" t="s">
        <v>13</v>
      </c>
      <c r="H34" s="43" t="s">
        <v>200</v>
      </c>
      <c r="I34" s="43" t="s">
        <v>201</v>
      </c>
      <c r="J34" s="43" t="s">
        <v>202</v>
      </c>
      <c r="K34" s="43"/>
      <c r="L34" s="43"/>
      <c r="M34" s="43"/>
      <c r="N34" s="44"/>
    </row>
    <row r="35" customFormat="false" ht="60" hidden="false" customHeight="true" outlineLevel="0" collapsed="false">
      <c r="A35" s="13" t="n">
        <v>5</v>
      </c>
      <c r="B35" s="12" t="s">
        <v>203</v>
      </c>
      <c r="C35" s="33" t="s">
        <v>182</v>
      </c>
      <c r="D35" s="34" t="s">
        <v>175</v>
      </c>
      <c r="E35" s="46" t="s">
        <v>81</v>
      </c>
      <c r="F35" s="36" t="s">
        <v>204</v>
      </c>
      <c r="G35" s="34" t="s">
        <v>13</v>
      </c>
      <c r="H35" s="37" t="s">
        <v>205</v>
      </c>
      <c r="I35" s="37" t="s">
        <v>206</v>
      </c>
      <c r="J35" s="37" t="s">
        <v>207</v>
      </c>
      <c r="K35" s="37"/>
      <c r="L35" s="37"/>
      <c r="M35" s="37"/>
      <c r="N35" s="38"/>
    </row>
  </sheetData>
  <mergeCells count="7">
    <mergeCell ref="A2:N2"/>
    <mergeCell ref="A3:N3"/>
    <mergeCell ref="A5:N5"/>
    <mergeCell ref="A13:N13"/>
    <mergeCell ref="A19:N19"/>
    <mergeCell ref="A25:N25"/>
    <mergeCell ref="A30:N30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35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35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35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208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209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210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211</v>
      </c>
      <c r="C6" s="33" t="s">
        <v>212</v>
      </c>
      <c r="D6" s="34" t="s">
        <v>87</v>
      </c>
      <c r="E6" s="35" t="s">
        <v>65</v>
      </c>
      <c r="F6" s="36" t="s">
        <v>213</v>
      </c>
      <c r="G6" s="34" t="s">
        <v>13</v>
      </c>
      <c r="H6" s="37" t="s">
        <v>214</v>
      </c>
      <c r="I6" s="37" t="s">
        <v>215</v>
      </c>
      <c r="J6" s="37" t="s">
        <v>216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217</v>
      </c>
      <c r="C7" s="39" t="s">
        <v>212</v>
      </c>
      <c r="D7" s="40" t="s">
        <v>87</v>
      </c>
      <c r="E7" s="41" t="s">
        <v>65</v>
      </c>
      <c r="F7" s="42" t="s">
        <v>218</v>
      </c>
      <c r="G7" s="40" t="s">
        <v>13</v>
      </c>
      <c r="H7" s="43" t="s">
        <v>219</v>
      </c>
      <c r="I7" s="43" t="s">
        <v>220</v>
      </c>
      <c r="J7" s="43" t="s">
        <v>221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222</v>
      </c>
      <c r="C8" s="33" t="s">
        <v>212</v>
      </c>
      <c r="D8" s="34" t="s">
        <v>175</v>
      </c>
      <c r="E8" s="46" t="s">
        <v>81</v>
      </c>
      <c r="F8" s="36" t="s">
        <v>223</v>
      </c>
      <c r="G8" s="34" t="s">
        <v>13</v>
      </c>
      <c r="H8" s="37" t="s">
        <v>224</v>
      </c>
      <c r="I8" s="37" t="s">
        <v>225</v>
      </c>
      <c r="J8" s="37" t="s">
        <v>226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227</v>
      </c>
      <c r="C9" s="39" t="s">
        <v>212</v>
      </c>
      <c r="D9" s="40" t="s">
        <v>175</v>
      </c>
      <c r="E9" s="45" t="s">
        <v>81</v>
      </c>
      <c r="F9" s="42" t="s">
        <v>228</v>
      </c>
      <c r="G9" s="40" t="s">
        <v>13</v>
      </c>
      <c r="H9" s="43" t="s">
        <v>229</v>
      </c>
      <c r="I9" s="43" t="s">
        <v>230</v>
      </c>
      <c r="J9" s="43" t="s">
        <v>231</v>
      </c>
      <c r="K9" s="43"/>
      <c r="L9" s="43"/>
      <c r="M9" s="43"/>
      <c r="N9" s="44"/>
    </row>
    <row r="10" customFormat="false" ht="15.75" hidden="false" customHeight="true" outlineLevel="0" collapsed="false">
      <c r="A10" s="32" t="s">
        <v>232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60" hidden="false" customHeight="true" outlineLevel="0" collapsed="false">
      <c r="A11" s="13" t="n">
        <v>1</v>
      </c>
      <c r="B11" s="12" t="s">
        <v>233</v>
      </c>
      <c r="C11" s="33" t="s">
        <v>234</v>
      </c>
      <c r="D11" s="34" t="s">
        <v>175</v>
      </c>
      <c r="E11" s="35" t="s">
        <v>65</v>
      </c>
      <c r="F11" s="36" t="s">
        <v>235</v>
      </c>
      <c r="G11" s="34" t="s">
        <v>13</v>
      </c>
      <c r="H11" s="37" t="s">
        <v>236</v>
      </c>
      <c r="I11" s="37" t="s">
        <v>237</v>
      </c>
      <c r="J11" s="37" t="s">
        <v>238</v>
      </c>
      <c r="K11" s="37"/>
      <c r="L11" s="37"/>
      <c r="M11" s="37"/>
      <c r="N11" s="38"/>
    </row>
    <row r="12" customFormat="false" ht="60" hidden="false" customHeight="true" outlineLevel="0" collapsed="false">
      <c r="A12" s="20" t="n">
        <v>2</v>
      </c>
      <c r="B12" s="18" t="s">
        <v>239</v>
      </c>
      <c r="C12" s="39" t="s">
        <v>234</v>
      </c>
      <c r="D12" s="40" t="s">
        <v>175</v>
      </c>
      <c r="E12" s="41" t="s">
        <v>65</v>
      </c>
      <c r="F12" s="42" t="s">
        <v>240</v>
      </c>
      <c r="G12" s="40" t="s">
        <v>13</v>
      </c>
      <c r="H12" s="43" t="s">
        <v>241</v>
      </c>
      <c r="I12" s="43" t="s">
        <v>242</v>
      </c>
      <c r="J12" s="43" t="s">
        <v>243</v>
      </c>
      <c r="K12" s="43"/>
      <c r="L12" s="43"/>
      <c r="M12" s="43"/>
      <c r="N12" s="44"/>
    </row>
    <row r="13" customFormat="false" ht="60" hidden="false" customHeight="true" outlineLevel="0" collapsed="false">
      <c r="A13" s="13" t="n">
        <v>3</v>
      </c>
      <c r="B13" s="12" t="s">
        <v>244</v>
      </c>
      <c r="C13" s="33" t="s">
        <v>234</v>
      </c>
      <c r="D13" s="34" t="s">
        <v>175</v>
      </c>
      <c r="E13" s="46" t="s">
        <v>81</v>
      </c>
      <c r="F13" s="36" t="s">
        <v>245</v>
      </c>
      <c r="G13" s="34" t="s">
        <v>13</v>
      </c>
      <c r="H13" s="37" t="s">
        <v>246</v>
      </c>
      <c r="I13" s="37" t="s">
        <v>247</v>
      </c>
      <c r="J13" s="37" t="s">
        <v>248</v>
      </c>
      <c r="K13" s="37"/>
      <c r="L13" s="37"/>
      <c r="M13" s="37"/>
      <c r="N13" s="38"/>
    </row>
    <row r="14" customFormat="false" ht="60" hidden="false" customHeight="true" outlineLevel="0" collapsed="false">
      <c r="A14" s="20" t="n">
        <v>4</v>
      </c>
      <c r="B14" s="18" t="s">
        <v>249</v>
      </c>
      <c r="C14" s="39" t="s">
        <v>234</v>
      </c>
      <c r="D14" s="40" t="s">
        <v>198</v>
      </c>
      <c r="E14" s="41" t="s">
        <v>65</v>
      </c>
      <c r="F14" s="42" t="s">
        <v>250</v>
      </c>
      <c r="G14" s="40" t="s">
        <v>13</v>
      </c>
      <c r="H14" s="43" t="s">
        <v>251</v>
      </c>
      <c r="I14" s="43" t="s">
        <v>252</v>
      </c>
      <c r="J14" s="43" t="s">
        <v>253</v>
      </c>
      <c r="K14" s="43"/>
      <c r="L14" s="43"/>
      <c r="M14" s="43"/>
      <c r="N14" s="44"/>
    </row>
    <row r="15" customFormat="false" ht="15.75" hidden="false" customHeight="true" outlineLevel="0" collapsed="false">
      <c r="A15" s="32" t="s">
        <v>254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customFormat="false" ht="60" hidden="false" customHeight="true" outlineLevel="0" collapsed="false">
      <c r="A16" s="13" t="n">
        <v>1</v>
      </c>
      <c r="B16" s="12" t="s">
        <v>255</v>
      </c>
      <c r="C16" s="33" t="s">
        <v>256</v>
      </c>
      <c r="D16" s="34" t="s">
        <v>159</v>
      </c>
      <c r="E16" s="46" t="s">
        <v>81</v>
      </c>
      <c r="F16" s="36" t="s">
        <v>257</v>
      </c>
      <c r="G16" s="34" t="s">
        <v>13</v>
      </c>
      <c r="H16" s="37" t="s">
        <v>258</v>
      </c>
      <c r="I16" s="37" t="s">
        <v>259</v>
      </c>
      <c r="J16" s="37" t="s">
        <v>260</v>
      </c>
      <c r="K16" s="37"/>
      <c r="L16" s="37"/>
      <c r="M16" s="37"/>
      <c r="N16" s="38"/>
    </row>
    <row r="17" customFormat="false" ht="60" hidden="false" customHeight="true" outlineLevel="0" collapsed="false">
      <c r="A17" s="20" t="n">
        <v>2</v>
      </c>
      <c r="B17" s="18" t="s">
        <v>261</v>
      </c>
      <c r="C17" s="39" t="s">
        <v>256</v>
      </c>
      <c r="D17" s="40" t="s">
        <v>159</v>
      </c>
      <c r="E17" s="45" t="s">
        <v>81</v>
      </c>
      <c r="F17" s="42" t="s">
        <v>262</v>
      </c>
      <c r="G17" s="40" t="s">
        <v>13</v>
      </c>
      <c r="H17" s="43" t="s">
        <v>263</v>
      </c>
      <c r="I17" s="43" t="s">
        <v>264</v>
      </c>
      <c r="J17" s="43" t="s">
        <v>265</v>
      </c>
      <c r="K17" s="43"/>
      <c r="L17" s="43"/>
      <c r="M17" s="43"/>
      <c r="N17" s="44"/>
    </row>
    <row r="18" customFormat="false" ht="60" hidden="false" customHeight="true" outlineLevel="0" collapsed="false">
      <c r="A18" s="13" t="n">
        <v>3</v>
      </c>
      <c r="B18" s="12" t="s">
        <v>266</v>
      </c>
      <c r="C18" s="33" t="s">
        <v>256</v>
      </c>
      <c r="D18" s="34" t="s">
        <v>159</v>
      </c>
      <c r="E18" s="34" t="s">
        <v>125</v>
      </c>
      <c r="F18" s="36" t="s">
        <v>267</v>
      </c>
      <c r="G18" s="34" t="s">
        <v>13</v>
      </c>
      <c r="H18" s="37" t="s">
        <v>268</v>
      </c>
      <c r="I18" s="37" t="s">
        <v>269</v>
      </c>
      <c r="J18" s="37" t="s">
        <v>270</v>
      </c>
      <c r="K18" s="37"/>
      <c r="L18" s="37"/>
      <c r="M18" s="37"/>
      <c r="N18" s="38"/>
    </row>
    <row r="19" customFormat="false" ht="60" hidden="false" customHeight="true" outlineLevel="0" collapsed="false">
      <c r="A19" s="20" t="n">
        <v>4</v>
      </c>
      <c r="B19" s="18" t="s">
        <v>271</v>
      </c>
      <c r="C19" s="39" t="s">
        <v>256</v>
      </c>
      <c r="D19" s="40" t="s">
        <v>159</v>
      </c>
      <c r="E19" s="40" t="s">
        <v>125</v>
      </c>
      <c r="F19" s="42" t="s">
        <v>272</v>
      </c>
      <c r="G19" s="40" t="s">
        <v>13</v>
      </c>
      <c r="H19" s="43" t="s">
        <v>273</v>
      </c>
      <c r="I19" s="43" t="s">
        <v>274</v>
      </c>
      <c r="J19" s="43" t="s">
        <v>275</v>
      </c>
      <c r="K19" s="43"/>
      <c r="L19" s="43"/>
      <c r="M19" s="43"/>
      <c r="N19" s="44"/>
    </row>
    <row r="20" customFormat="false" ht="15.75" hidden="false" customHeight="true" outlineLevel="0" collapsed="false">
      <c r="A20" s="32" t="s">
        <v>276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customFormat="false" ht="60" hidden="false" customHeight="true" outlineLevel="0" collapsed="false">
      <c r="A21" s="13" t="n">
        <v>1</v>
      </c>
      <c r="B21" s="12" t="s">
        <v>277</v>
      </c>
      <c r="C21" s="33" t="s">
        <v>278</v>
      </c>
      <c r="D21" s="34" t="s">
        <v>175</v>
      </c>
      <c r="E21" s="46" t="s">
        <v>81</v>
      </c>
      <c r="F21" s="36" t="s">
        <v>279</v>
      </c>
      <c r="G21" s="34" t="s">
        <v>13</v>
      </c>
      <c r="H21" s="37" t="s">
        <v>280</v>
      </c>
      <c r="I21" s="37" t="s">
        <v>281</v>
      </c>
      <c r="J21" s="37" t="s">
        <v>282</v>
      </c>
      <c r="K21" s="37"/>
      <c r="L21" s="37"/>
      <c r="M21" s="37"/>
      <c r="N21" s="38"/>
    </row>
    <row r="22" customFormat="false" ht="60" hidden="false" customHeight="true" outlineLevel="0" collapsed="false">
      <c r="A22" s="20" t="n">
        <v>2</v>
      </c>
      <c r="B22" s="18" t="s">
        <v>283</v>
      </c>
      <c r="C22" s="39" t="s">
        <v>278</v>
      </c>
      <c r="D22" s="40" t="s">
        <v>175</v>
      </c>
      <c r="E22" s="45" t="s">
        <v>81</v>
      </c>
      <c r="F22" s="42" t="s">
        <v>284</v>
      </c>
      <c r="G22" s="40" t="s">
        <v>13</v>
      </c>
      <c r="H22" s="43" t="s">
        <v>285</v>
      </c>
      <c r="I22" s="43" t="s">
        <v>286</v>
      </c>
      <c r="J22" s="43" t="s">
        <v>287</v>
      </c>
      <c r="K22" s="43"/>
      <c r="L22" s="43"/>
      <c r="M22" s="43"/>
      <c r="N22" s="44"/>
    </row>
    <row r="23" customFormat="false" ht="60" hidden="false" customHeight="true" outlineLevel="0" collapsed="false">
      <c r="A23" s="13" t="n">
        <v>3</v>
      </c>
      <c r="B23" s="12" t="s">
        <v>288</v>
      </c>
      <c r="C23" s="33" t="s">
        <v>278</v>
      </c>
      <c r="D23" s="34" t="s">
        <v>175</v>
      </c>
      <c r="E23" s="34" t="s">
        <v>125</v>
      </c>
      <c r="F23" s="36" t="s">
        <v>289</v>
      </c>
      <c r="G23" s="34" t="s">
        <v>13</v>
      </c>
      <c r="H23" s="37" t="s">
        <v>290</v>
      </c>
      <c r="I23" s="37" t="s">
        <v>291</v>
      </c>
      <c r="J23" s="37" t="s">
        <v>292</v>
      </c>
      <c r="K23" s="37"/>
      <c r="L23" s="37"/>
      <c r="M23" s="37"/>
      <c r="N23" s="38"/>
    </row>
    <row r="24" customFormat="false" ht="15.75" hidden="false" customHeight="true" outlineLevel="0" collapsed="false">
      <c r="A24" s="32" t="s">
        <v>293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customFormat="false" ht="60" hidden="false" customHeight="true" outlineLevel="0" collapsed="false">
      <c r="A25" s="13" t="n">
        <v>1</v>
      </c>
      <c r="B25" s="12" t="s">
        <v>294</v>
      </c>
      <c r="C25" s="33" t="s">
        <v>295</v>
      </c>
      <c r="D25" s="34" t="s">
        <v>175</v>
      </c>
      <c r="E25" s="46" t="s">
        <v>81</v>
      </c>
      <c r="F25" s="36" t="s">
        <v>296</v>
      </c>
      <c r="G25" s="34" t="s">
        <v>13</v>
      </c>
      <c r="H25" s="37" t="s">
        <v>297</v>
      </c>
      <c r="I25" s="37" t="s">
        <v>298</v>
      </c>
      <c r="J25" s="37" t="s">
        <v>299</v>
      </c>
      <c r="K25" s="37"/>
      <c r="L25" s="37"/>
      <c r="M25" s="37"/>
      <c r="N25" s="38"/>
    </row>
    <row r="26" customFormat="false" ht="60" hidden="false" customHeight="true" outlineLevel="0" collapsed="false">
      <c r="A26" s="20" t="n">
        <v>2</v>
      </c>
      <c r="B26" s="18" t="s">
        <v>300</v>
      </c>
      <c r="C26" s="39" t="s">
        <v>295</v>
      </c>
      <c r="D26" s="40" t="s">
        <v>175</v>
      </c>
      <c r="E26" s="45" t="s">
        <v>81</v>
      </c>
      <c r="F26" s="42" t="s">
        <v>301</v>
      </c>
      <c r="G26" s="40" t="s">
        <v>13</v>
      </c>
      <c r="H26" s="43" t="s">
        <v>302</v>
      </c>
      <c r="I26" s="43" t="s">
        <v>303</v>
      </c>
      <c r="J26" s="43" t="s">
        <v>304</v>
      </c>
      <c r="K26" s="43"/>
      <c r="L26" s="43"/>
      <c r="M26" s="43"/>
      <c r="N26" s="44"/>
    </row>
    <row r="27" customFormat="false" ht="60" hidden="false" customHeight="true" outlineLevel="0" collapsed="false">
      <c r="A27" s="13" t="n">
        <v>3</v>
      </c>
      <c r="B27" s="12" t="s">
        <v>305</v>
      </c>
      <c r="C27" s="33" t="s">
        <v>295</v>
      </c>
      <c r="D27" s="34" t="s">
        <v>175</v>
      </c>
      <c r="E27" s="46" t="s">
        <v>81</v>
      </c>
      <c r="F27" s="36" t="s">
        <v>306</v>
      </c>
      <c r="G27" s="34" t="s">
        <v>13</v>
      </c>
      <c r="H27" s="37" t="s">
        <v>307</v>
      </c>
      <c r="I27" s="37" t="s">
        <v>308</v>
      </c>
      <c r="J27" s="37" t="s">
        <v>309</v>
      </c>
      <c r="K27" s="37"/>
      <c r="L27" s="37"/>
      <c r="M27" s="37"/>
      <c r="N27" s="38"/>
    </row>
    <row r="28" customFormat="false" ht="60" hidden="false" customHeight="true" outlineLevel="0" collapsed="false">
      <c r="A28" s="20" t="n">
        <v>4</v>
      </c>
      <c r="B28" s="18" t="s">
        <v>310</v>
      </c>
      <c r="C28" s="39" t="s">
        <v>295</v>
      </c>
      <c r="D28" s="40" t="s">
        <v>175</v>
      </c>
      <c r="E28" s="40" t="s">
        <v>125</v>
      </c>
      <c r="F28" s="42" t="s">
        <v>311</v>
      </c>
      <c r="G28" s="40" t="s">
        <v>13</v>
      </c>
      <c r="H28" s="43" t="s">
        <v>312</v>
      </c>
      <c r="I28" s="43" t="s">
        <v>313</v>
      </c>
      <c r="J28" s="43" t="s">
        <v>314</v>
      </c>
      <c r="K28" s="43"/>
      <c r="L28" s="43"/>
      <c r="M28" s="43"/>
      <c r="N28" s="44"/>
    </row>
  </sheetData>
  <mergeCells count="7">
    <mergeCell ref="A2:N2"/>
    <mergeCell ref="A3:N3"/>
    <mergeCell ref="A5:N5"/>
    <mergeCell ref="A10:N10"/>
    <mergeCell ref="A15:N15"/>
    <mergeCell ref="A20:N20"/>
    <mergeCell ref="A24:N24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8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8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8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315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316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317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318</v>
      </c>
      <c r="C6" s="33" t="s">
        <v>319</v>
      </c>
      <c r="D6" s="34" t="s">
        <v>87</v>
      </c>
      <c r="E6" s="35" t="s">
        <v>65</v>
      </c>
      <c r="F6" s="36" t="s">
        <v>320</v>
      </c>
      <c r="G6" s="34" t="s">
        <v>13</v>
      </c>
      <c r="H6" s="37" t="s">
        <v>321</v>
      </c>
      <c r="I6" s="37" t="s">
        <v>322</v>
      </c>
      <c r="J6" s="37" t="s">
        <v>323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324</v>
      </c>
      <c r="C7" s="39" t="s">
        <v>319</v>
      </c>
      <c r="D7" s="40" t="s">
        <v>87</v>
      </c>
      <c r="E7" s="41" t="s">
        <v>65</v>
      </c>
      <c r="F7" s="42" t="s">
        <v>325</v>
      </c>
      <c r="G7" s="40" t="s">
        <v>13</v>
      </c>
      <c r="H7" s="43" t="s">
        <v>326</v>
      </c>
      <c r="I7" s="43" t="s">
        <v>327</v>
      </c>
      <c r="J7" s="43" t="s">
        <v>328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329</v>
      </c>
      <c r="C8" s="33" t="s">
        <v>319</v>
      </c>
      <c r="D8" s="34" t="s">
        <v>87</v>
      </c>
      <c r="E8" s="46" t="s">
        <v>81</v>
      </c>
      <c r="F8" s="36" t="s">
        <v>330</v>
      </c>
      <c r="G8" s="34" t="s">
        <v>13</v>
      </c>
      <c r="H8" s="37" t="s">
        <v>331</v>
      </c>
      <c r="I8" s="37" t="s">
        <v>332</v>
      </c>
      <c r="J8" s="37" t="s">
        <v>333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334</v>
      </c>
      <c r="C9" s="39" t="s">
        <v>319</v>
      </c>
      <c r="D9" s="40" t="s">
        <v>87</v>
      </c>
      <c r="E9" s="45" t="s">
        <v>81</v>
      </c>
      <c r="F9" s="42" t="s">
        <v>335</v>
      </c>
      <c r="G9" s="40" t="s">
        <v>13</v>
      </c>
      <c r="H9" s="43" t="s">
        <v>336</v>
      </c>
      <c r="I9" s="43" t="s">
        <v>337</v>
      </c>
      <c r="J9" s="43" t="s">
        <v>338</v>
      </c>
      <c r="K9" s="43"/>
      <c r="L9" s="43"/>
      <c r="M9" s="43"/>
      <c r="N9" s="44"/>
    </row>
    <row r="10" customFormat="false" ht="60" hidden="false" customHeight="true" outlineLevel="0" collapsed="false">
      <c r="A10" s="13" t="n">
        <v>5</v>
      </c>
      <c r="B10" s="12" t="s">
        <v>339</v>
      </c>
      <c r="C10" s="33" t="s">
        <v>319</v>
      </c>
      <c r="D10" s="34" t="s">
        <v>87</v>
      </c>
      <c r="E10" s="46" t="s">
        <v>81</v>
      </c>
      <c r="F10" s="36" t="s">
        <v>340</v>
      </c>
      <c r="G10" s="34" t="s">
        <v>13</v>
      </c>
      <c r="H10" s="37" t="s">
        <v>341</v>
      </c>
      <c r="I10" s="37" t="s">
        <v>342</v>
      </c>
      <c r="J10" s="37" t="s">
        <v>343</v>
      </c>
      <c r="K10" s="37"/>
      <c r="L10" s="37"/>
      <c r="M10" s="37"/>
      <c r="N10" s="38"/>
    </row>
    <row r="11" customFormat="false" ht="15.75" hidden="false" customHeight="true" outlineLevel="0" collapsed="false">
      <c r="A11" s="32" t="s">
        <v>344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customFormat="false" ht="60" hidden="false" customHeight="true" outlineLevel="0" collapsed="false">
      <c r="A12" s="13" t="n">
        <v>1</v>
      </c>
      <c r="B12" s="12" t="s">
        <v>345</v>
      </c>
      <c r="C12" s="33" t="s">
        <v>346</v>
      </c>
      <c r="D12" s="34" t="s">
        <v>64</v>
      </c>
      <c r="E12" s="35" t="s">
        <v>65</v>
      </c>
      <c r="F12" s="36" t="s">
        <v>347</v>
      </c>
      <c r="G12" s="34" t="s">
        <v>13</v>
      </c>
      <c r="H12" s="37" t="s">
        <v>348</v>
      </c>
      <c r="I12" s="37" t="s">
        <v>349</v>
      </c>
      <c r="J12" s="37" t="s">
        <v>350</v>
      </c>
      <c r="K12" s="37"/>
      <c r="L12" s="37"/>
      <c r="M12" s="37"/>
      <c r="N12" s="38"/>
    </row>
    <row r="13" customFormat="false" ht="60" hidden="false" customHeight="true" outlineLevel="0" collapsed="false">
      <c r="A13" s="20" t="n">
        <v>2</v>
      </c>
      <c r="B13" s="18" t="s">
        <v>351</v>
      </c>
      <c r="C13" s="39" t="s">
        <v>346</v>
      </c>
      <c r="D13" s="40" t="s">
        <v>64</v>
      </c>
      <c r="E13" s="41" t="s">
        <v>65</v>
      </c>
      <c r="F13" s="42" t="s">
        <v>352</v>
      </c>
      <c r="G13" s="40" t="s">
        <v>13</v>
      </c>
      <c r="H13" s="43" t="s">
        <v>353</v>
      </c>
      <c r="I13" s="43" t="s">
        <v>354</v>
      </c>
      <c r="J13" s="43" t="s">
        <v>355</v>
      </c>
      <c r="K13" s="43"/>
      <c r="L13" s="43"/>
      <c r="M13" s="43"/>
      <c r="N13" s="44"/>
    </row>
    <row r="14" customFormat="false" ht="60" hidden="false" customHeight="true" outlineLevel="0" collapsed="false">
      <c r="A14" s="13" t="n">
        <v>3</v>
      </c>
      <c r="B14" s="12" t="s">
        <v>356</v>
      </c>
      <c r="C14" s="33" t="s">
        <v>346</v>
      </c>
      <c r="D14" s="34" t="s">
        <v>87</v>
      </c>
      <c r="E14" s="35" t="s">
        <v>65</v>
      </c>
      <c r="F14" s="36" t="s">
        <v>357</v>
      </c>
      <c r="G14" s="34" t="s">
        <v>13</v>
      </c>
      <c r="H14" s="37" t="s">
        <v>358</v>
      </c>
      <c r="I14" s="37" t="s">
        <v>359</v>
      </c>
      <c r="J14" s="37" t="s">
        <v>360</v>
      </c>
      <c r="K14" s="37"/>
      <c r="L14" s="37"/>
      <c r="M14" s="37"/>
      <c r="N14" s="38"/>
    </row>
    <row r="15" customFormat="false" ht="60" hidden="false" customHeight="true" outlineLevel="0" collapsed="false">
      <c r="A15" s="20" t="n">
        <v>4</v>
      </c>
      <c r="B15" s="18" t="s">
        <v>361</v>
      </c>
      <c r="C15" s="39" t="s">
        <v>346</v>
      </c>
      <c r="D15" s="40" t="s">
        <v>87</v>
      </c>
      <c r="E15" s="41" t="s">
        <v>65</v>
      </c>
      <c r="F15" s="42" t="s">
        <v>362</v>
      </c>
      <c r="G15" s="40" t="s">
        <v>13</v>
      </c>
      <c r="H15" s="43" t="s">
        <v>363</v>
      </c>
      <c r="I15" s="43" t="s">
        <v>364</v>
      </c>
      <c r="J15" s="43" t="s">
        <v>365</v>
      </c>
      <c r="K15" s="43"/>
      <c r="L15" s="43"/>
      <c r="M15" s="43"/>
      <c r="N15" s="44"/>
    </row>
    <row r="16" customFormat="false" ht="60" hidden="false" customHeight="true" outlineLevel="0" collapsed="false">
      <c r="A16" s="13" t="n">
        <v>5</v>
      </c>
      <c r="B16" s="12" t="s">
        <v>366</v>
      </c>
      <c r="C16" s="33" t="s">
        <v>346</v>
      </c>
      <c r="D16" s="34" t="s">
        <v>87</v>
      </c>
      <c r="E16" s="35" t="s">
        <v>65</v>
      </c>
      <c r="F16" s="36" t="s">
        <v>367</v>
      </c>
      <c r="G16" s="34" t="s">
        <v>13</v>
      </c>
      <c r="H16" s="37" t="s">
        <v>368</v>
      </c>
      <c r="I16" s="37" t="s">
        <v>369</v>
      </c>
      <c r="J16" s="37" t="s">
        <v>370</v>
      </c>
      <c r="K16" s="37"/>
      <c r="L16" s="37"/>
      <c r="M16" s="37"/>
      <c r="N16" s="38"/>
    </row>
    <row r="17" customFormat="false" ht="60" hidden="false" customHeight="true" outlineLevel="0" collapsed="false">
      <c r="A17" s="20" t="n">
        <v>6</v>
      </c>
      <c r="B17" s="18" t="s">
        <v>371</v>
      </c>
      <c r="C17" s="39" t="s">
        <v>346</v>
      </c>
      <c r="D17" s="40" t="s">
        <v>64</v>
      </c>
      <c r="E17" s="45" t="s">
        <v>81</v>
      </c>
      <c r="F17" s="42" t="s">
        <v>372</v>
      </c>
      <c r="G17" s="40" t="s">
        <v>13</v>
      </c>
      <c r="H17" s="43" t="s">
        <v>373</v>
      </c>
      <c r="I17" s="43" t="s">
        <v>374</v>
      </c>
      <c r="J17" s="43" t="s">
        <v>375</v>
      </c>
      <c r="K17" s="43"/>
      <c r="L17" s="43"/>
      <c r="M17" s="43"/>
      <c r="N17" s="44"/>
    </row>
    <row r="18" customFormat="false" ht="60" hidden="false" customHeight="true" outlineLevel="0" collapsed="false">
      <c r="A18" s="13" t="n">
        <v>7</v>
      </c>
      <c r="B18" s="12" t="s">
        <v>376</v>
      </c>
      <c r="C18" s="33" t="s">
        <v>346</v>
      </c>
      <c r="D18" s="34" t="s">
        <v>87</v>
      </c>
      <c r="E18" s="46" t="s">
        <v>81</v>
      </c>
      <c r="F18" s="36" t="s">
        <v>377</v>
      </c>
      <c r="G18" s="34" t="s">
        <v>13</v>
      </c>
      <c r="H18" s="37" t="s">
        <v>378</v>
      </c>
      <c r="I18" s="37" t="s">
        <v>379</v>
      </c>
      <c r="J18" s="37" t="s">
        <v>380</v>
      </c>
      <c r="K18" s="37"/>
      <c r="L18" s="37"/>
      <c r="M18" s="37"/>
      <c r="N18" s="38"/>
    </row>
    <row r="19" customFormat="false" ht="60" hidden="false" customHeight="true" outlineLevel="0" collapsed="false">
      <c r="A19" s="20" t="n">
        <v>8</v>
      </c>
      <c r="B19" s="18" t="s">
        <v>381</v>
      </c>
      <c r="C19" s="39" t="s">
        <v>346</v>
      </c>
      <c r="D19" s="40" t="s">
        <v>87</v>
      </c>
      <c r="E19" s="45" t="s">
        <v>81</v>
      </c>
      <c r="F19" s="42" t="s">
        <v>382</v>
      </c>
      <c r="G19" s="40" t="s">
        <v>13</v>
      </c>
      <c r="H19" s="43" t="s">
        <v>383</v>
      </c>
      <c r="I19" s="43" t="s">
        <v>384</v>
      </c>
      <c r="J19" s="43" t="s">
        <v>385</v>
      </c>
      <c r="K19" s="43"/>
      <c r="L19" s="43"/>
      <c r="M19" s="43"/>
      <c r="N19" s="44"/>
    </row>
    <row r="20" customFormat="false" ht="60" hidden="false" customHeight="true" outlineLevel="0" collapsed="false">
      <c r="A20" s="13" t="n">
        <v>9</v>
      </c>
      <c r="B20" s="12" t="s">
        <v>386</v>
      </c>
      <c r="C20" s="33" t="s">
        <v>346</v>
      </c>
      <c r="D20" s="34" t="s">
        <v>87</v>
      </c>
      <c r="E20" s="46" t="s">
        <v>81</v>
      </c>
      <c r="F20" s="36" t="s">
        <v>387</v>
      </c>
      <c r="G20" s="34" t="s">
        <v>13</v>
      </c>
      <c r="H20" s="37" t="s">
        <v>388</v>
      </c>
      <c r="I20" s="37" t="s">
        <v>389</v>
      </c>
      <c r="J20" s="37" t="s">
        <v>390</v>
      </c>
      <c r="K20" s="37"/>
      <c r="L20" s="37"/>
      <c r="M20" s="37"/>
      <c r="N20" s="38"/>
    </row>
    <row r="21" customFormat="false" ht="60" hidden="false" customHeight="true" outlineLevel="0" collapsed="false">
      <c r="A21" s="20" t="n">
        <v>10</v>
      </c>
      <c r="B21" s="18" t="s">
        <v>391</v>
      </c>
      <c r="C21" s="39" t="s">
        <v>346</v>
      </c>
      <c r="D21" s="40" t="s">
        <v>87</v>
      </c>
      <c r="E21" s="45" t="s">
        <v>81</v>
      </c>
      <c r="F21" s="42" t="s">
        <v>392</v>
      </c>
      <c r="G21" s="40" t="s">
        <v>13</v>
      </c>
      <c r="H21" s="43" t="s">
        <v>393</v>
      </c>
      <c r="I21" s="43" t="s">
        <v>394</v>
      </c>
      <c r="J21" s="43" t="s">
        <v>395</v>
      </c>
      <c r="K21" s="43"/>
      <c r="L21" s="43"/>
      <c r="M21" s="43"/>
      <c r="N21" s="44"/>
    </row>
    <row r="22" customFormat="false" ht="15.75" hidden="false" customHeight="true" outlineLevel="0" collapsed="false">
      <c r="A22" s="32" t="s">
        <v>396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customFormat="false" ht="60" hidden="false" customHeight="true" outlineLevel="0" collapsed="false">
      <c r="A23" s="13" t="n">
        <v>1</v>
      </c>
      <c r="B23" s="12" t="s">
        <v>397</v>
      </c>
      <c r="C23" s="33" t="s">
        <v>398</v>
      </c>
      <c r="D23" s="34" t="s">
        <v>159</v>
      </c>
      <c r="E23" s="46" t="s">
        <v>81</v>
      </c>
      <c r="F23" s="36" t="s">
        <v>399</v>
      </c>
      <c r="G23" s="34" t="s">
        <v>13</v>
      </c>
      <c r="H23" s="37" t="s">
        <v>400</v>
      </c>
      <c r="I23" s="37" t="s">
        <v>401</v>
      </c>
      <c r="J23" s="37" t="s">
        <v>402</v>
      </c>
      <c r="K23" s="37"/>
      <c r="L23" s="37"/>
      <c r="M23" s="37"/>
      <c r="N23" s="38"/>
    </row>
    <row r="24" customFormat="false" ht="60" hidden="false" customHeight="true" outlineLevel="0" collapsed="false">
      <c r="A24" s="20" t="n">
        <v>2</v>
      </c>
      <c r="B24" s="18" t="s">
        <v>403</v>
      </c>
      <c r="C24" s="39" t="s">
        <v>398</v>
      </c>
      <c r="D24" s="40" t="s">
        <v>159</v>
      </c>
      <c r="E24" s="45" t="s">
        <v>81</v>
      </c>
      <c r="F24" s="42" t="s">
        <v>404</v>
      </c>
      <c r="G24" s="40" t="s">
        <v>13</v>
      </c>
      <c r="H24" s="43" t="s">
        <v>405</v>
      </c>
      <c r="I24" s="43" t="s">
        <v>406</v>
      </c>
      <c r="J24" s="43" t="s">
        <v>407</v>
      </c>
      <c r="K24" s="43"/>
      <c r="L24" s="43"/>
      <c r="M24" s="43"/>
      <c r="N24" s="44"/>
    </row>
    <row r="25" customFormat="false" ht="60" hidden="false" customHeight="true" outlineLevel="0" collapsed="false">
      <c r="A25" s="13" t="n">
        <v>3</v>
      </c>
      <c r="B25" s="12" t="s">
        <v>408</v>
      </c>
      <c r="C25" s="33" t="s">
        <v>398</v>
      </c>
      <c r="D25" s="34" t="s">
        <v>159</v>
      </c>
      <c r="E25" s="34" t="s">
        <v>125</v>
      </c>
      <c r="F25" s="36" t="s">
        <v>409</v>
      </c>
      <c r="G25" s="34" t="s">
        <v>13</v>
      </c>
      <c r="H25" s="37" t="s">
        <v>410</v>
      </c>
      <c r="I25" s="37" t="s">
        <v>411</v>
      </c>
      <c r="J25" s="37" t="s">
        <v>412</v>
      </c>
      <c r="K25" s="37"/>
      <c r="L25" s="37"/>
      <c r="M25" s="37"/>
      <c r="N25" s="38"/>
    </row>
  </sheetData>
  <mergeCells count="5">
    <mergeCell ref="A2:N2"/>
    <mergeCell ref="A3:N3"/>
    <mergeCell ref="A5:N5"/>
    <mergeCell ref="A11:N11"/>
    <mergeCell ref="A22:N22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5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5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5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413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414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415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416</v>
      </c>
      <c r="C6" s="33" t="s">
        <v>417</v>
      </c>
      <c r="D6" s="34" t="s">
        <v>87</v>
      </c>
      <c r="E6" s="46" t="s">
        <v>81</v>
      </c>
      <c r="F6" s="36" t="s">
        <v>418</v>
      </c>
      <c r="G6" s="34" t="s">
        <v>13</v>
      </c>
      <c r="H6" s="37" t="s">
        <v>419</v>
      </c>
      <c r="I6" s="37" t="s">
        <v>420</v>
      </c>
      <c r="J6" s="37" t="s">
        <v>421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422</v>
      </c>
      <c r="C7" s="39" t="s">
        <v>417</v>
      </c>
      <c r="D7" s="40" t="s">
        <v>87</v>
      </c>
      <c r="E7" s="45" t="s">
        <v>81</v>
      </c>
      <c r="F7" s="42" t="s">
        <v>423</v>
      </c>
      <c r="G7" s="40" t="s">
        <v>13</v>
      </c>
      <c r="H7" s="43" t="s">
        <v>424</v>
      </c>
      <c r="I7" s="43" t="s">
        <v>425</v>
      </c>
      <c r="J7" s="43" t="s">
        <v>426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427</v>
      </c>
      <c r="C8" s="33" t="s">
        <v>417</v>
      </c>
      <c r="D8" s="34" t="s">
        <v>87</v>
      </c>
      <c r="E8" s="46" t="s">
        <v>81</v>
      </c>
      <c r="F8" s="36" t="s">
        <v>428</v>
      </c>
      <c r="G8" s="34" t="s">
        <v>13</v>
      </c>
      <c r="H8" s="37" t="s">
        <v>429</v>
      </c>
      <c r="I8" s="37" t="s">
        <v>430</v>
      </c>
      <c r="J8" s="37" t="s">
        <v>431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432</v>
      </c>
      <c r="C9" s="39" t="s">
        <v>417</v>
      </c>
      <c r="D9" s="40" t="s">
        <v>87</v>
      </c>
      <c r="E9" s="40" t="s">
        <v>125</v>
      </c>
      <c r="F9" s="42" t="s">
        <v>433</v>
      </c>
      <c r="G9" s="40" t="s">
        <v>13</v>
      </c>
      <c r="H9" s="43" t="s">
        <v>280</v>
      </c>
      <c r="I9" s="43" t="s">
        <v>434</v>
      </c>
      <c r="J9" s="43" t="s">
        <v>435</v>
      </c>
      <c r="K9" s="43"/>
      <c r="L9" s="43"/>
      <c r="M9" s="43"/>
      <c r="N9" s="44"/>
    </row>
    <row r="10" customFormat="false" ht="15.75" hidden="false" customHeight="true" outlineLevel="0" collapsed="false">
      <c r="A10" s="32" t="s">
        <v>436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60" hidden="false" customHeight="true" outlineLevel="0" collapsed="false">
      <c r="A11" s="13" t="n">
        <v>1</v>
      </c>
      <c r="B11" s="12" t="s">
        <v>437</v>
      </c>
      <c r="C11" s="33" t="s">
        <v>438</v>
      </c>
      <c r="D11" s="34" t="s">
        <v>87</v>
      </c>
      <c r="E11" s="46" t="s">
        <v>81</v>
      </c>
      <c r="F11" s="36" t="s">
        <v>439</v>
      </c>
      <c r="G11" s="34" t="s">
        <v>13</v>
      </c>
      <c r="H11" s="37" t="s">
        <v>440</v>
      </c>
      <c r="I11" s="37" t="s">
        <v>441</v>
      </c>
      <c r="J11" s="37" t="s">
        <v>442</v>
      </c>
      <c r="K11" s="37"/>
      <c r="L11" s="37"/>
      <c r="M11" s="37"/>
      <c r="N11" s="38"/>
    </row>
    <row r="12" customFormat="false" ht="60" hidden="false" customHeight="true" outlineLevel="0" collapsed="false">
      <c r="A12" s="20" t="n">
        <v>2</v>
      </c>
      <c r="B12" s="18" t="s">
        <v>443</v>
      </c>
      <c r="C12" s="39" t="s">
        <v>438</v>
      </c>
      <c r="D12" s="40" t="s">
        <v>87</v>
      </c>
      <c r="E12" s="40" t="s">
        <v>125</v>
      </c>
      <c r="F12" s="42" t="s">
        <v>444</v>
      </c>
      <c r="G12" s="40" t="s">
        <v>13</v>
      </c>
      <c r="H12" s="43" t="s">
        <v>445</v>
      </c>
      <c r="I12" s="43" t="s">
        <v>446</v>
      </c>
      <c r="J12" s="43" t="s">
        <v>447</v>
      </c>
      <c r="K12" s="43"/>
      <c r="L12" s="43"/>
      <c r="M12" s="43"/>
      <c r="N12" s="44"/>
    </row>
    <row r="13" customFormat="false" ht="15.75" hidden="false" customHeight="true" outlineLevel="0" collapsed="false">
      <c r="A13" s="32" t="s">
        <v>448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customFormat="false" ht="60" hidden="false" customHeight="true" outlineLevel="0" collapsed="false">
      <c r="A14" s="13" t="n">
        <v>1</v>
      </c>
      <c r="B14" s="12" t="s">
        <v>449</v>
      </c>
      <c r="C14" s="33" t="s">
        <v>450</v>
      </c>
      <c r="D14" s="34" t="s">
        <v>87</v>
      </c>
      <c r="E14" s="35" t="s">
        <v>65</v>
      </c>
      <c r="F14" s="36" t="s">
        <v>451</v>
      </c>
      <c r="G14" s="34" t="s">
        <v>13</v>
      </c>
      <c r="H14" s="37" t="s">
        <v>452</v>
      </c>
      <c r="I14" s="37" t="s">
        <v>453</v>
      </c>
      <c r="J14" s="37" t="s">
        <v>454</v>
      </c>
      <c r="K14" s="37"/>
      <c r="L14" s="37"/>
      <c r="M14" s="37"/>
      <c r="N14" s="38"/>
    </row>
    <row r="15" customFormat="false" ht="60" hidden="false" customHeight="true" outlineLevel="0" collapsed="false">
      <c r="A15" s="20" t="n">
        <v>2</v>
      </c>
      <c r="B15" s="18" t="s">
        <v>455</v>
      </c>
      <c r="C15" s="39" t="s">
        <v>450</v>
      </c>
      <c r="D15" s="40" t="s">
        <v>87</v>
      </c>
      <c r="E15" s="41" t="s">
        <v>65</v>
      </c>
      <c r="F15" s="42" t="s">
        <v>456</v>
      </c>
      <c r="G15" s="40" t="s">
        <v>13</v>
      </c>
      <c r="H15" s="43" t="s">
        <v>457</v>
      </c>
      <c r="I15" s="43" t="s">
        <v>458</v>
      </c>
      <c r="J15" s="43" t="s">
        <v>459</v>
      </c>
      <c r="K15" s="43"/>
      <c r="L15" s="43"/>
      <c r="M15" s="43"/>
      <c r="N15" s="44"/>
    </row>
    <row r="16" customFormat="false" ht="60" hidden="false" customHeight="true" outlineLevel="0" collapsed="false">
      <c r="A16" s="13" t="n">
        <v>3</v>
      </c>
      <c r="B16" s="12" t="s">
        <v>460</v>
      </c>
      <c r="C16" s="33" t="s">
        <v>450</v>
      </c>
      <c r="D16" s="34" t="s">
        <v>87</v>
      </c>
      <c r="E16" s="46" t="s">
        <v>81</v>
      </c>
      <c r="F16" s="36" t="s">
        <v>461</v>
      </c>
      <c r="G16" s="34" t="s">
        <v>13</v>
      </c>
      <c r="H16" s="37" t="s">
        <v>462</v>
      </c>
      <c r="I16" s="37" t="s">
        <v>463</v>
      </c>
      <c r="J16" s="37" t="s">
        <v>464</v>
      </c>
      <c r="K16" s="37"/>
      <c r="L16" s="37"/>
      <c r="M16" s="37"/>
      <c r="N16" s="38"/>
    </row>
    <row r="17" customFormat="false" ht="60" hidden="false" customHeight="true" outlineLevel="0" collapsed="false">
      <c r="A17" s="20" t="n">
        <v>4</v>
      </c>
      <c r="B17" s="18" t="s">
        <v>465</v>
      </c>
      <c r="C17" s="39" t="s">
        <v>450</v>
      </c>
      <c r="D17" s="40" t="s">
        <v>87</v>
      </c>
      <c r="E17" s="45" t="s">
        <v>81</v>
      </c>
      <c r="F17" s="42" t="s">
        <v>466</v>
      </c>
      <c r="G17" s="40" t="s">
        <v>13</v>
      </c>
      <c r="H17" s="43" t="s">
        <v>467</v>
      </c>
      <c r="I17" s="43" t="s">
        <v>468</v>
      </c>
      <c r="J17" s="43" t="s">
        <v>469</v>
      </c>
      <c r="K17" s="43"/>
      <c r="L17" s="43"/>
      <c r="M17" s="43"/>
      <c r="N17" s="44"/>
    </row>
    <row r="18" customFormat="false" ht="15.75" hidden="false" customHeight="true" outlineLevel="0" collapsed="false">
      <c r="A18" s="32" t="s">
        <v>470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customFormat="false" ht="60" hidden="false" customHeight="true" outlineLevel="0" collapsed="false">
      <c r="A19" s="13" t="n">
        <v>1</v>
      </c>
      <c r="B19" s="12" t="s">
        <v>471</v>
      </c>
      <c r="C19" s="33" t="s">
        <v>472</v>
      </c>
      <c r="D19" s="34" t="s">
        <v>159</v>
      </c>
      <c r="E19" s="34" t="s">
        <v>125</v>
      </c>
      <c r="F19" s="36" t="s">
        <v>473</v>
      </c>
      <c r="G19" s="34" t="s">
        <v>13</v>
      </c>
      <c r="H19" s="37" t="s">
        <v>474</v>
      </c>
      <c r="I19" s="37" t="s">
        <v>475</v>
      </c>
      <c r="J19" s="37" t="s">
        <v>476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2</v>
      </c>
      <c r="B20" s="18" t="s">
        <v>477</v>
      </c>
      <c r="C20" s="39" t="s">
        <v>472</v>
      </c>
      <c r="D20" s="40" t="s">
        <v>159</v>
      </c>
      <c r="E20" s="40" t="s">
        <v>125</v>
      </c>
      <c r="F20" s="42" t="s">
        <v>478</v>
      </c>
      <c r="G20" s="40" t="s">
        <v>13</v>
      </c>
      <c r="H20" s="43" t="s">
        <v>479</v>
      </c>
      <c r="I20" s="43" t="s">
        <v>480</v>
      </c>
      <c r="J20" s="43" t="s">
        <v>481</v>
      </c>
      <c r="K20" s="43"/>
      <c r="L20" s="43"/>
      <c r="M20" s="43"/>
      <c r="N20" s="44"/>
    </row>
    <row r="21" customFormat="false" ht="60" hidden="false" customHeight="true" outlineLevel="0" collapsed="false">
      <c r="A21" s="13" t="n">
        <v>3</v>
      </c>
      <c r="B21" s="12" t="s">
        <v>482</v>
      </c>
      <c r="C21" s="33" t="s">
        <v>472</v>
      </c>
      <c r="D21" s="34" t="s">
        <v>159</v>
      </c>
      <c r="E21" s="34" t="s">
        <v>125</v>
      </c>
      <c r="F21" s="36" t="s">
        <v>483</v>
      </c>
      <c r="G21" s="34" t="s">
        <v>13</v>
      </c>
      <c r="H21" s="37" t="s">
        <v>484</v>
      </c>
      <c r="I21" s="37" t="s">
        <v>485</v>
      </c>
      <c r="J21" s="37" t="s">
        <v>486</v>
      </c>
      <c r="K21" s="37"/>
      <c r="L21" s="37"/>
      <c r="M21" s="37"/>
      <c r="N21" s="38"/>
    </row>
  </sheetData>
  <mergeCells count="6">
    <mergeCell ref="A2:N2"/>
    <mergeCell ref="A3:N3"/>
    <mergeCell ref="A5:N5"/>
    <mergeCell ref="A10:N10"/>
    <mergeCell ref="A13:N13"/>
    <mergeCell ref="A18:N18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1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1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1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487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488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489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490</v>
      </c>
      <c r="C6" s="33" t="s">
        <v>491</v>
      </c>
      <c r="D6" s="34" t="s">
        <v>87</v>
      </c>
      <c r="E6" s="35" t="s">
        <v>65</v>
      </c>
      <c r="F6" s="36" t="s">
        <v>492</v>
      </c>
      <c r="G6" s="34" t="s">
        <v>13</v>
      </c>
      <c r="H6" s="37" t="s">
        <v>493</v>
      </c>
      <c r="I6" s="37" t="s">
        <v>494</v>
      </c>
      <c r="J6" s="37" t="s">
        <v>495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496</v>
      </c>
      <c r="C7" s="39" t="s">
        <v>491</v>
      </c>
      <c r="D7" s="40" t="s">
        <v>175</v>
      </c>
      <c r="E7" s="41" t="s">
        <v>65</v>
      </c>
      <c r="F7" s="42" t="s">
        <v>497</v>
      </c>
      <c r="G7" s="40" t="s">
        <v>13</v>
      </c>
      <c r="H7" s="43" t="s">
        <v>498</v>
      </c>
      <c r="I7" s="43" t="s">
        <v>499</v>
      </c>
      <c r="J7" s="43" t="s">
        <v>500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501</v>
      </c>
      <c r="C8" s="33" t="s">
        <v>491</v>
      </c>
      <c r="D8" s="34" t="s">
        <v>175</v>
      </c>
      <c r="E8" s="46" t="s">
        <v>81</v>
      </c>
      <c r="F8" s="36" t="s">
        <v>502</v>
      </c>
      <c r="G8" s="34" t="s">
        <v>13</v>
      </c>
      <c r="H8" s="37" t="s">
        <v>503</v>
      </c>
      <c r="I8" s="37" t="s">
        <v>504</v>
      </c>
      <c r="J8" s="37" t="s">
        <v>505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506</v>
      </c>
      <c r="C9" s="39" t="s">
        <v>491</v>
      </c>
      <c r="D9" s="40" t="s">
        <v>87</v>
      </c>
      <c r="E9" s="45" t="s">
        <v>81</v>
      </c>
      <c r="F9" s="42" t="s">
        <v>507</v>
      </c>
      <c r="G9" s="40" t="s">
        <v>13</v>
      </c>
      <c r="H9" s="43" t="s">
        <v>508</v>
      </c>
      <c r="I9" s="43" t="s">
        <v>509</v>
      </c>
      <c r="J9" s="43" t="s">
        <v>510</v>
      </c>
      <c r="K9" s="43"/>
      <c r="L9" s="43"/>
      <c r="M9" s="43"/>
      <c r="N9" s="44"/>
    </row>
    <row r="10" customFormat="false" ht="15.75" hidden="false" customHeight="true" outlineLevel="0" collapsed="false">
      <c r="A10" s="32" t="s">
        <v>511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60" hidden="false" customHeight="true" outlineLevel="0" collapsed="false">
      <c r="A11" s="13" t="n">
        <v>1</v>
      </c>
      <c r="B11" s="12" t="s">
        <v>512</v>
      </c>
      <c r="C11" s="33" t="s">
        <v>513</v>
      </c>
      <c r="D11" s="34" t="s">
        <v>87</v>
      </c>
      <c r="E11" s="35" t="s">
        <v>65</v>
      </c>
      <c r="F11" s="36" t="s">
        <v>514</v>
      </c>
      <c r="G11" s="34" t="s">
        <v>13</v>
      </c>
      <c r="H11" s="37" t="s">
        <v>515</v>
      </c>
      <c r="I11" s="37" t="s">
        <v>516</v>
      </c>
      <c r="J11" s="37" t="s">
        <v>517</v>
      </c>
      <c r="K11" s="37"/>
      <c r="L11" s="37"/>
      <c r="M11" s="37"/>
      <c r="N11" s="38"/>
    </row>
    <row r="12" customFormat="false" ht="60" hidden="false" customHeight="true" outlineLevel="0" collapsed="false">
      <c r="A12" s="20" t="n">
        <v>2</v>
      </c>
      <c r="B12" s="18" t="s">
        <v>518</v>
      </c>
      <c r="C12" s="39" t="s">
        <v>513</v>
      </c>
      <c r="D12" s="40" t="s">
        <v>87</v>
      </c>
      <c r="E12" s="41" t="s">
        <v>65</v>
      </c>
      <c r="F12" s="42" t="s">
        <v>519</v>
      </c>
      <c r="G12" s="40" t="s">
        <v>13</v>
      </c>
      <c r="H12" s="43" t="s">
        <v>520</v>
      </c>
      <c r="I12" s="43" t="s">
        <v>521</v>
      </c>
      <c r="J12" s="43" t="s">
        <v>522</v>
      </c>
      <c r="K12" s="43"/>
      <c r="L12" s="43"/>
      <c r="M12" s="43"/>
      <c r="N12" s="44"/>
    </row>
    <row r="13" customFormat="false" ht="60" hidden="false" customHeight="true" outlineLevel="0" collapsed="false">
      <c r="A13" s="13" t="n">
        <v>3</v>
      </c>
      <c r="B13" s="12" t="s">
        <v>523</v>
      </c>
      <c r="C13" s="33" t="s">
        <v>513</v>
      </c>
      <c r="D13" s="34" t="s">
        <v>87</v>
      </c>
      <c r="E13" s="46" t="s">
        <v>81</v>
      </c>
      <c r="F13" s="36" t="s">
        <v>524</v>
      </c>
      <c r="G13" s="34" t="s">
        <v>13</v>
      </c>
      <c r="H13" s="37" t="s">
        <v>525</v>
      </c>
      <c r="I13" s="37" t="s">
        <v>526</v>
      </c>
      <c r="J13" s="37" t="s">
        <v>527</v>
      </c>
      <c r="K13" s="37"/>
      <c r="L13" s="37"/>
      <c r="M13" s="37"/>
      <c r="N13" s="38"/>
    </row>
    <row r="14" customFormat="false" ht="60" hidden="false" customHeight="true" outlineLevel="0" collapsed="false">
      <c r="A14" s="20" t="n">
        <v>4</v>
      </c>
      <c r="B14" s="18" t="s">
        <v>528</v>
      </c>
      <c r="C14" s="39" t="s">
        <v>513</v>
      </c>
      <c r="D14" s="40" t="s">
        <v>87</v>
      </c>
      <c r="E14" s="45" t="s">
        <v>81</v>
      </c>
      <c r="F14" s="42" t="s">
        <v>529</v>
      </c>
      <c r="G14" s="40" t="s">
        <v>13</v>
      </c>
      <c r="H14" s="43" t="s">
        <v>530</v>
      </c>
      <c r="I14" s="43" t="s">
        <v>531</v>
      </c>
      <c r="J14" s="43" t="s">
        <v>532</v>
      </c>
      <c r="K14" s="43"/>
      <c r="L14" s="43"/>
      <c r="M14" s="43"/>
      <c r="N14" s="44"/>
    </row>
    <row r="15" customFormat="false" ht="60" hidden="false" customHeight="true" outlineLevel="0" collapsed="false">
      <c r="A15" s="13" t="n">
        <v>5</v>
      </c>
      <c r="B15" s="12" t="s">
        <v>533</v>
      </c>
      <c r="C15" s="33" t="s">
        <v>513</v>
      </c>
      <c r="D15" s="34" t="s">
        <v>87</v>
      </c>
      <c r="E15" s="46" t="s">
        <v>81</v>
      </c>
      <c r="F15" s="36" t="s">
        <v>534</v>
      </c>
      <c r="G15" s="34" t="s">
        <v>13</v>
      </c>
      <c r="H15" s="37" t="s">
        <v>535</v>
      </c>
      <c r="I15" s="37" t="s">
        <v>536</v>
      </c>
      <c r="J15" s="37" t="s">
        <v>537</v>
      </c>
      <c r="K15" s="37"/>
      <c r="L15" s="37"/>
      <c r="M15" s="37"/>
      <c r="N15" s="38"/>
    </row>
    <row r="16" customFormat="false" ht="15.75" hidden="false" customHeight="true" outlineLevel="0" collapsed="false">
      <c r="A16" s="32" t="s">
        <v>538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60" hidden="false" customHeight="true" outlineLevel="0" collapsed="false">
      <c r="A17" s="13" t="n">
        <v>1</v>
      </c>
      <c r="B17" s="12" t="s">
        <v>539</v>
      </c>
      <c r="C17" s="33" t="s">
        <v>540</v>
      </c>
      <c r="D17" s="34" t="s">
        <v>87</v>
      </c>
      <c r="E17" s="46" t="s">
        <v>81</v>
      </c>
      <c r="F17" s="36" t="s">
        <v>541</v>
      </c>
      <c r="G17" s="34" t="s">
        <v>13</v>
      </c>
      <c r="H17" s="37" t="s">
        <v>542</v>
      </c>
      <c r="I17" s="37" t="s">
        <v>543</v>
      </c>
      <c r="J17" s="37" t="s">
        <v>544</v>
      </c>
      <c r="K17" s="37"/>
      <c r="L17" s="37"/>
      <c r="M17" s="37"/>
      <c r="N17" s="38"/>
    </row>
    <row r="18" customFormat="false" ht="60" hidden="false" customHeight="true" outlineLevel="0" collapsed="false">
      <c r="A18" s="20" t="n">
        <v>2</v>
      </c>
      <c r="B18" s="18" t="s">
        <v>545</v>
      </c>
      <c r="C18" s="39" t="s">
        <v>540</v>
      </c>
      <c r="D18" s="40" t="s">
        <v>87</v>
      </c>
      <c r="E18" s="45" t="s">
        <v>81</v>
      </c>
      <c r="F18" s="42" t="s">
        <v>546</v>
      </c>
      <c r="G18" s="40" t="s">
        <v>13</v>
      </c>
      <c r="H18" s="43" t="s">
        <v>547</v>
      </c>
      <c r="I18" s="43" t="s">
        <v>548</v>
      </c>
      <c r="J18" s="43" t="s">
        <v>549</v>
      </c>
      <c r="K18" s="43"/>
      <c r="L18" s="43"/>
      <c r="M18" s="43"/>
      <c r="N18" s="44"/>
    </row>
    <row r="19" customFormat="false" ht="60" hidden="false" customHeight="true" outlineLevel="0" collapsed="false">
      <c r="A19" s="13" t="n">
        <v>3</v>
      </c>
      <c r="B19" s="12" t="s">
        <v>550</v>
      </c>
      <c r="C19" s="33" t="s">
        <v>540</v>
      </c>
      <c r="D19" s="34" t="s">
        <v>87</v>
      </c>
      <c r="E19" s="46" t="s">
        <v>81</v>
      </c>
      <c r="F19" s="36" t="s">
        <v>551</v>
      </c>
      <c r="G19" s="34" t="s">
        <v>13</v>
      </c>
      <c r="H19" s="37" t="s">
        <v>552</v>
      </c>
      <c r="I19" s="37" t="s">
        <v>553</v>
      </c>
      <c r="J19" s="37" t="s">
        <v>554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4</v>
      </c>
      <c r="B20" s="18" t="s">
        <v>555</v>
      </c>
      <c r="C20" s="39" t="s">
        <v>540</v>
      </c>
      <c r="D20" s="40" t="s">
        <v>175</v>
      </c>
      <c r="E20" s="40" t="s">
        <v>125</v>
      </c>
      <c r="F20" s="42" t="s">
        <v>556</v>
      </c>
      <c r="G20" s="40" t="s">
        <v>13</v>
      </c>
      <c r="H20" s="43" t="s">
        <v>557</v>
      </c>
      <c r="I20" s="43" t="s">
        <v>558</v>
      </c>
      <c r="J20" s="43" t="s">
        <v>559</v>
      </c>
      <c r="K20" s="43"/>
      <c r="L20" s="43"/>
      <c r="M20" s="43"/>
      <c r="N20" s="44"/>
    </row>
  </sheetData>
  <mergeCells count="5">
    <mergeCell ref="A2:N2"/>
    <mergeCell ref="A3:N3"/>
    <mergeCell ref="A5:N5"/>
    <mergeCell ref="A10:N10"/>
    <mergeCell ref="A16:N16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0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0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0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560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561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562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563</v>
      </c>
      <c r="C6" s="33" t="s">
        <v>564</v>
      </c>
      <c r="D6" s="34" t="s">
        <v>64</v>
      </c>
      <c r="E6" s="35" t="s">
        <v>65</v>
      </c>
      <c r="F6" s="36" t="s">
        <v>565</v>
      </c>
      <c r="G6" s="34" t="s">
        <v>13</v>
      </c>
      <c r="H6" s="37" t="s">
        <v>566</v>
      </c>
      <c r="I6" s="37" t="s">
        <v>567</v>
      </c>
      <c r="J6" s="37" t="s">
        <v>568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569</v>
      </c>
      <c r="C7" s="39" t="s">
        <v>564</v>
      </c>
      <c r="D7" s="40" t="s">
        <v>198</v>
      </c>
      <c r="E7" s="41" t="s">
        <v>65</v>
      </c>
      <c r="F7" s="42" t="s">
        <v>570</v>
      </c>
      <c r="G7" s="40" t="s">
        <v>13</v>
      </c>
      <c r="H7" s="43" t="s">
        <v>571</v>
      </c>
      <c r="I7" s="43" t="s">
        <v>572</v>
      </c>
      <c r="J7" s="43" t="s">
        <v>573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574</v>
      </c>
      <c r="C8" s="33" t="s">
        <v>564</v>
      </c>
      <c r="D8" s="34" t="s">
        <v>198</v>
      </c>
      <c r="E8" s="35" t="s">
        <v>65</v>
      </c>
      <c r="F8" s="36" t="s">
        <v>575</v>
      </c>
      <c r="G8" s="34" t="s">
        <v>13</v>
      </c>
      <c r="H8" s="37" t="s">
        <v>576</v>
      </c>
      <c r="I8" s="37" t="s">
        <v>577</v>
      </c>
      <c r="J8" s="37" t="s">
        <v>578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579</v>
      </c>
      <c r="C9" s="39" t="s">
        <v>564</v>
      </c>
      <c r="D9" s="40" t="s">
        <v>64</v>
      </c>
      <c r="E9" s="45" t="s">
        <v>81</v>
      </c>
      <c r="F9" s="42" t="s">
        <v>580</v>
      </c>
      <c r="G9" s="40" t="s">
        <v>13</v>
      </c>
      <c r="H9" s="43" t="s">
        <v>581</v>
      </c>
      <c r="I9" s="43" t="s">
        <v>582</v>
      </c>
      <c r="J9" s="43" t="s">
        <v>583</v>
      </c>
      <c r="K9" s="43"/>
      <c r="L9" s="43"/>
      <c r="M9" s="43"/>
      <c r="N9" s="44"/>
    </row>
    <row r="10" customFormat="false" ht="15.75" hidden="false" customHeight="true" outlineLevel="0" collapsed="false">
      <c r="A10" s="32" t="s">
        <v>584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60" hidden="false" customHeight="true" outlineLevel="0" collapsed="false">
      <c r="A11" s="13" t="n">
        <v>1</v>
      </c>
      <c r="B11" s="12" t="s">
        <v>585</v>
      </c>
      <c r="C11" s="33" t="s">
        <v>586</v>
      </c>
      <c r="D11" s="34" t="s">
        <v>159</v>
      </c>
      <c r="E11" s="46" t="s">
        <v>81</v>
      </c>
      <c r="F11" s="36" t="s">
        <v>587</v>
      </c>
      <c r="G11" s="34" t="s">
        <v>13</v>
      </c>
      <c r="H11" s="37" t="s">
        <v>588</v>
      </c>
      <c r="I11" s="37" t="s">
        <v>589</v>
      </c>
      <c r="J11" s="37" t="s">
        <v>590</v>
      </c>
      <c r="K11" s="37"/>
      <c r="L11" s="37"/>
      <c r="M11" s="37"/>
      <c r="N11" s="38"/>
    </row>
    <row r="12" customFormat="false" ht="60" hidden="false" customHeight="true" outlineLevel="0" collapsed="false">
      <c r="A12" s="20" t="n">
        <v>2</v>
      </c>
      <c r="B12" s="18" t="s">
        <v>591</v>
      </c>
      <c r="C12" s="39" t="s">
        <v>586</v>
      </c>
      <c r="D12" s="40" t="s">
        <v>159</v>
      </c>
      <c r="E12" s="45" t="s">
        <v>81</v>
      </c>
      <c r="F12" s="42" t="s">
        <v>592</v>
      </c>
      <c r="G12" s="40" t="s">
        <v>13</v>
      </c>
      <c r="H12" s="43" t="s">
        <v>593</v>
      </c>
      <c r="I12" s="43" t="s">
        <v>594</v>
      </c>
      <c r="J12" s="43" t="s">
        <v>595</v>
      </c>
      <c r="K12" s="43"/>
      <c r="L12" s="43"/>
      <c r="M12" s="43"/>
      <c r="N12" s="44"/>
    </row>
    <row r="13" customFormat="false" ht="60" hidden="false" customHeight="true" outlineLevel="0" collapsed="false">
      <c r="A13" s="13" t="n">
        <v>3</v>
      </c>
      <c r="B13" s="12" t="s">
        <v>596</v>
      </c>
      <c r="C13" s="33" t="s">
        <v>586</v>
      </c>
      <c r="D13" s="34" t="s">
        <v>159</v>
      </c>
      <c r="E13" s="46" t="s">
        <v>81</v>
      </c>
      <c r="F13" s="36" t="s">
        <v>597</v>
      </c>
      <c r="G13" s="34" t="s">
        <v>13</v>
      </c>
      <c r="H13" s="37" t="s">
        <v>593</v>
      </c>
      <c r="I13" s="37" t="s">
        <v>598</v>
      </c>
      <c r="J13" s="37" t="s">
        <v>599</v>
      </c>
      <c r="K13" s="37"/>
      <c r="L13" s="37"/>
      <c r="M13" s="37"/>
      <c r="N13" s="38"/>
    </row>
    <row r="14" customFormat="false" ht="60" hidden="false" customHeight="true" outlineLevel="0" collapsed="false">
      <c r="A14" s="20" t="n">
        <v>4</v>
      </c>
      <c r="B14" s="18" t="s">
        <v>600</v>
      </c>
      <c r="C14" s="39" t="s">
        <v>586</v>
      </c>
      <c r="D14" s="40" t="s">
        <v>159</v>
      </c>
      <c r="E14" s="40" t="s">
        <v>125</v>
      </c>
      <c r="F14" s="42" t="s">
        <v>601</v>
      </c>
      <c r="G14" s="40" t="s">
        <v>13</v>
      </c>
      <c r="H14" s="43" t="s">
        <v>602</v>
      </c>
      <c r="I14" s="43" t="s">
        <v>603</v>
      </c>
      <c r="J14" s="43" t="s">
        <v>604</v>
      </c>
      <c r="K14" s="43"/>
      <c r="L14" s="43"/>
      <c r="M14" s="43"/>
      <c r="N14" s="44"/>
    </row>
    <row r="15" customFormat="false" ht="60" hidden="false" customHeight="true" outlineLevel="0" collapsed="false">
      <c r="A15" s="13" t="n">
        <v>5</v>
      </c>
      <c r="B15" s="12" t="s">
        <v>605</v>
      </c>
      <c r="C15" s="33" t="s">
        <v>586</v>
      </c>
      <c r="D15" s="34" t="s">
        <v>87</v>
      </c>
      <c r="E15" s="46" t="s">
        <v>81</v>
      </c>
      <c r="F15" s="36" t="s">
        <v>606</v>
      </c>
      <c r="G15" s="34" t="s">
        <v>13</v>
      </c>
      <c r="H15" s="37" t="s">
        <v>607</v>
      </c>
      <c r="I15" s="37" t="s">
        <v>608</v>
      </c>
      <c r="J15" s="37" t="s">
        <v>609</v>
      </c>
      <c r="K15" s="37"/>
      <c r="L15" s="37"/>
      <c r="M15" s="37"/>
      <c r="N15" s="38"/>
    </row>
    <row r="16" customFormat="false" ht="15.75" hidden="false" customHeight="true" outlineLevel="0" collapsed="false">
      <c r="A16" s="32" t="s">
        <v>610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60" hidden="false" customHeight="true" outlineLevel="0" collapsed="false">
      <c r="A17" s="13" t="n">
        <v>1</v>
      </c>
      <c r="B17" s="12" t="s">
        <v>611</v>
      </c>
      <c r="C17" s="33" t="s">
        <v>612</v>
      </c>
      <c r="D17" s="34" t="s">
        <v>87</v>
      </c>
      <c r="E17" s="46" t="s">
        <v>81</v>
      </c>
      <c r="F17" s="36" t="s">
        <v>613</v>
      </c>
      <c r="G17" s="34" t="s">
        <v>13</v>
      </c>
      <c r="H17" s="37" t="s">
        <v>614</v>
      </c>
      <c r="I17" s="37" t="s">
        <v>615</v>
      </c>
      <c r="J17" s="37" t="s">
        <v>616</v>
      </c>
      <c r="K17" s="37"/>
      <c r="L17" s="37"/>
      <c r="M17" s="37"/>
      <c r="N17" s="38"/>
    </row>
    <row r="18" customFormat="false" ht="60" hidden="false" customHeight="true" outlineLevel="0" collapsed="false">
      <c r="A18" s="20" t="n">
        <v>2</v>
      </c>
      <c r="B18" s="18" t="s">
        <v>617</v>
      </c>
      <c r="C18" s="39" t="s">
        <v>612</v>
      </c>
      <c r="D18" s="40" t="s">
        <v>87</v>
      </c>
      <c r="E18" s="45" t="s">
        <v>81</v>
      </c>
      <c r="F18" s="42" t="s">
        <v>618</v>
      </c>
      <c r="G18" s="40" t="s">
        <v>13</v>
      </c>
      <c r="H18" s="43" t="s">
        <v>619</v>
      </c>
      <c r="I18" s="43" t="s">
        <v>620</v>
      </c>
      <c r="J18" s="43" t="s">
        <v>621</v>
      </c>
      <c r="K18" s="43"/>
      <c r="L18" s="43"/>
      <c r="M18" s="43"/>
      <c r="N18" s="44"/>
    </row>
    <row r="19" customFormat="false" ht="60" hidden="false" customHeight="true" outlineLevel="0" collapsed="false">
      <c r="A19" s="13" t="n">
        <v>3</v>
      </c>
      <c r="B19" s="12" t="s">
        <v>622</v>
      </c>
      <c r="C19" s="33" t="s">
        <v>612</v>
      </c>
      <c r="D19" s="34" t="s">
        <v>87</v>
      </c>
      <c r="E19" s="46" t="s">
        <v>81</v>
      </c>
      <c r="F19" s="36" t="s">
        <v>623</v>
      </c>
      <c r="G19" s="34" t="s">
        <v>13</v>
      </c>
      <c r="H19" s="37" t="s">
        <v>624</v>
      </c>
      <c r="I19" s="37" t="s">
        <v>625</v>
      </c>
      <c r="J19" s="37" t="s">
        <v>626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4</v>
      </c>
      <c r="B20" s="18" t="s">
        <v>627</v>
      </c>
      <c r="C20" s="39" t="s">
        <v>612</v>
      </c>
      <c r="D20" s="40" t="s">
        <v>87</v>
      </c>
      <c r="E20" s="40" t="s">
        <v>125</v>
      </c>
      <c r="F20" s="42" t="s">
        <v>628</v>
      </c>
      <c r="G20" s="40" t="s">
        <v>13</v>
      </c>
      <c r="H20" s="43" t="s">
        <v>629</v>
      </c>
      <c r="I20" s="43" t="s">
        <v>630</v>
      </c>
      <c r="J20" s="43" t="s">
        <v>631</v>
      </c>
      <c r="K20" s="43"/>
      <c r="L20" s="43"/>
      <c r="M20" s="43"/>
      <c r="N20" s="44"/>
    </row>
    <row r="21" customFormat="false" ht="60" hidden="false" customHeight="true" outlineLevel="0" collapsed="false">
      <c r="A21" s="13" t="n">
        <v>5</v>
      </c>
      <c r="B21" s="12" t="s">
        <v>632</v>
      </c>
      <c r="C21" s="33" t="s">
        <v>612</v>
      </c>
      <c r="D21" s="34" t="s">
        <v>87</v>
      </c>
      <c r="E21" s="34" t="s">
        <v>125</v>
      </c>
      <c r="F21" s="36" t="s">
        <v>633</v>
      </c>
      <c r="G21" s="34" t="s">
        <v>13</v>
      </c>
      <c r="H21" s="37" t="s">
        <v>634</v>
      </c>
      <c r="I21" s="37" t="s">
        <v>635</v>
      </c>
      <c r="J21" s="37" t="s">
        <v>636</v>
      </c>
      <c r="K21" s="37"/>
      <c r="L21" s="37"/>
      <c r="M21" s="37"/>
      <c r="N21" s="38"/>
    </row>
  </sheetData>
  <mergeCells count="5">
    <mergeCell ref="A2:N2"/>
    <mergeCell ref="A3:N3"/>
    <mergeCell ref="A5:N5"/>
    <mergeCell ref="A10:N10"/>
    <mergeCell ref="A16:N16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1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1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1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637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638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639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640</v>
      </c>
      <c r="C6" s="33" t="s">
        <v>641</v>
      </c>
      <c r="D6" s="34" t="s">
        <v>159</v>
      </c>
      <c r="E6" s="46" t="s">
        <v>81</v>
      </c>
      <c r="F6" s="36" t="s">
        <v>642</v>
      </c>
      <c r="G6" s="34" t="s">
        <v>13</v>
      </c>
      <c r="H6" s="37" t="s">
        <v>643</v>
      </c>
      <c r="I6" s="37" t="s">
        <v>644</v>
      </c>
      <c r="J6" s="37" t="s">
        <v>645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646</v>
      </c>
      <c r="C7" s="39" t="s">
        <v>641</v>
      </c>
      <c r="D7" s="40" t="s">
        <v>159</v>
      </c>
      <c r="E7" s="45" t="s">
        <v>81</v>
      </c>
      <c r="F7" s="42" t="s">
        <v>647</v>
      </c>
      <c r="G7" s="40" t="s">
        <v>13</v>
      </c>
      <c r="H7" s="43" t="s">
        <v>106</v>
      </c>
      <c r="I7" s="43" t="s">
        <v>648</v>
      </c>
      <c r="J7" s="43" t="s">
        <v>649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650</v>
      </c>
      <c r="C8" s="33" t="s">
        <v>641</v>
      </c>
      <c r="D8" s="34" t="s">
        <v>159</v>
      </c>
      <c r="E8" s="46" t="s">
        <v>81</v>
      </c>
      <c r="F8" s="36" t="s">
        <v>651</v>
      </c>
      <c r="G8" s="34" t="s">
        <v>13</v>
      </c>
      <c r="H8" s="37" t="s">
        <v>652</v>
      </c>
      <c r="I8" s="37" t="s">
        <v>653</v>
      </c>
      <c r="J8" s="37" t="s">
        <v>654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655</v>
      </c>
      <c r="C9" s="39" t="s">
        <v>641</v>
      </c>
      <c r="D9" s="40" t="s">
        <v>159</v>
      </c>
      <c r="E9" s="40" t="s">
        <v>125</v>
      </c>
      <c r="F9" s="42" t="s">
        <v>656</v>
      </c>
      <c r="G9" s="40" t="s">
        <v>13</v>
      </c>
      <c r="H9" s="43" t="s">
        <v>106</v>
      </c>
      <c r="I9" s="43" t="s">
        <v>657</v>
      </c>
      <c r="J9" s="43" t="s">
        <v>658</v>
      </c>
      <c r="K9" s="43"/>
      <c r="L9" s="43"/>
      <c r="M9" s="43"/>
      <c r="N9" s="44"/>
    </row>
    <row r="10" customFormat="false" ht="15.75" hidden="false" customHeight="true" outlineLevel="0" collapsed="false">
      <c r="A10" s="32" t="s">
        <v>659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customFormat="false" ht="60" hidden="false" customHeight="true" outlineLevel="0" collapsed="false">
      <c r="A11" s="13" t="n">
        <v>1</v>
      </c>
      <c r="B11" s="12" t="s">
        <v>660</v>
      </c>
      <c r="C11" s="33" t="s">
        <v>661</v>
      </c>
      <c r="D11" s="34" t="s">
        <v>87</v>
      </c>
      <c r="E11" s="46" t="s">
        <v>81</v>
      </c>
      <c r="F11" s="36" t="s">
        <v>662</v>
      </c>
      <c r="G11" s="34" t="s">
        <v>13</v>
      </c>
      <c r="H11" s="37" t="s">
        <v>663</v>
      </c>
      <c r="I11" s="37" t="s">
        <v>664</v>
      </c>
      <c r="J11" s="37" t="s">
        <v>665</v>
      </c>
      <c r="K11" s="37"/>
      <c r="L11" s="37"/>
      <c r="M11" s="37"/>
      <c r="N11" s="38"/>
    </row>
    <row r="12" customFormat="false" ht="60" hidden="false" customHeight="true" outlineLevel="0" collapsed="false">
      <c r="A12" s="20" t="n">
        <v>2</v>
      </c>
      <c r="B12" s="18" t="s">
        <v>666</v>
      </c>
      <c r="C12" s="39" t="s">
        <v>661</v>
      </c>
      <c r="D12" s="40" t="s">
        <v>87</v>
      </c>
      <c r="E12" s="45" t="s">
        <v>81</v>
      </c>
      <c r="F12" s="42" t="s">
        <v>667</v>
      </c>
      <c r="G12" s="40" t="s">
        <v>13</v>
      </c>
      <c r="H12" s="43" t="s">
        <v>668</v>
      </c>
      <c r="I12" s="43" t="s">
        <v>669</v>
      </c>
      <c r="J12" s="43" t="s">
        <v>670</v>
      </c>
      <c r="K12" s="43"/>
      <c r="L12" s="43"/>
      <c r="M12" s="43"/>
      <c r="N12" s="44"/>
    </row>
    <row r="13" customFormat="false" ht="60" hidden="false" customHeight="true" outlineLevel="0" collapsed="false">
      <c r="A13" s="13" t="n">
        <v>3</v>
      </c>
      <c r="B13" s="12" t="s">
        <v>671</v>
      </c>
      <c r="C13" s="33" t="s">
        <v>661</v>
      </c>
      <c r="D13" s="34" t="s">
        <v>672</v>
      </c>
      <c r="E13" s="46" t="s">
        <v>81</v>
      </c>
      <c r="F13" s="36" t="s">
        <v>673</v>
      </c>
      <c r="G13" s="34" t="s">
        <v>13</v>
      </c>
      <c r="H13" s="37" t="s">
        <v>674</v>
      </c>
      <c r="I13" s="37" t="s">
        <v>675</v>
      </c>
      <c r="J13" s="37" t="s">
        <v>676</v>
      </c>
      <c r="K13" s="37"/>
      <c r="L13" s="37"/>
      <c r="M13" s="37"/>
      <c r="N13" s="38"/>
    </row>
    <row r="14" customFormat="false" ht="60" hidden="false" customHeight="true" outlineLevel="0" collapsed="false">
      <c r="A14" s="20" t="n">
        <v>4</v>
      </c>
      <c r="B14" s="18" t="s">
        <v>677</v>
      </c>
      <c r="C14" s="39" t="s">
        <v>661</v>
      </c>
      <c r="D14" s="40" t="s">
        <v>87</v>
      </c>
      <c r="E14" s="40" t="s">
        <v>125</v>
      </c>
      <c r="F14" s="42" t="s">
        <v>678</v>
      </c>
      <c r="G14" s="40" t="s">
        <v>13</v>
      </c>
      <c r="H14" s="43" t="s">
        <v>679</v>
      </c>
      <c r="I14" s="43" t="s">
        <v>680</v>
      </c>
      <c r="J14" s="43" t="s">
        <v>681</v>
      </c>
      <c r="K14" s="43"/>
      <c r="L14" s="43"/>
      <c r="M14" s="43"/>
      <c r="N14" s="44"/>
    </row>
    <row r="15" customFormat="false" ht="60" hidden="false" customHeight="true" outlineLevel="0" collapsed="false">
      <c r="A15" s="13" t="n">
        <v>5</v>
      </c>
      <c r="B15" s="12" t="s">
        <v>682</v>
      </c>
      <c r="C15" s="33" t="s">
        <v>661</v>
      </c>
      <c r="D15" s="34" t="s">
        <v>87</v>
      </c>
      <c r="E15" s="46" t="s">
        <v>81</v>
      </c>
      <c r="F15" s="36" t="s">
        <v>683</v>
      </c>
      <c r="G15" s="34" t="s">
        <v>13</v>
      </c>
      <c r="H15" s="37" t="s">
        <v>684</v>
      </c>
      <c r="I15" s="37" t="s">
        <v>685</v>
      </c>
      <c r="J15" s="37" t="s">
        <v>686</v>
      </c>
      <c r="K15" s="37"/>
      <c r="L15" s="37"/>
      <c r="M15" s="37"/>
      <c r="N15" s="38"/>
    </row>
    <row r="16" customFormat="false" ht="15.75" hidden="false" customHeight="true" outlineLevel="0" collapsed="false">
      <c r="A16" s="32" t="s">
        <v>687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60" hidden="false" customHeight="true" outlineLevel="0" collapsed="false">
      <c r="A17" s="13" t="n">
        <v>1</v>
      </c>
      <c r="B17" s="12" t="s">
        <v>688</v>
      </c>
      <c r="C17" s="33" t="s">
        <v>689</v>
      </c>
      <c r="D17" s="34" t="s">
        <v>159</v>
      </c>
      <c r="E17" s="35" t="s">
        <v>65</v>
      </c>
      <c r="F17" s="36" t="s">
        <v>690</v>
      </c>
      <c r="G17" s="34" t="s">
        <v>13</v>
      </c>
      <c r="H17" s="37" t="s">
        <v>691</v>
      </c>
      <c r="I17" s="37" t="s">
        <v>692</v>
      </c>
      <c r="J17" s="37" t="s">
        <v>693</v>
      </c>
      <c r="K17" s="37"/>
      <c r="L17" s="37"/>
      <c r="M17" s="37"/>
      <c r="N17" s="38"/>
    </row>
    <row r="18" customFormat="false" ht="60" hidden="false" customHeight="true" outlineLevel="0" collapsed="false">
      <c r="A18" s="20" t="n">
        <v>2</v>
      </c>
      <c r="B18" s="18" t="s">
        <v>694</v>
      </c>
      <c r="C18" s="39" t="s">
        <v>689</v>
      </c>
      <c r="D18" s="40" t="s">
        <v>159</v>
      </c>
      <c r="E18" s="45" t="s">
        <v>81</v>
      </c>
      <c r="F18" s="42" t="s">
        <v>695</v>
      </c>
      <c r="G18" s="40" t="s">
        <v>13</v>
      </c>
      <c r="H18" s="43" t="s">
        <v>696</v>
      </c>
      <c r="I18" s="43" t="s">
        <v>697</v>
      </c>
      <c r="J18" s="43" t="s">
        <v>698</v>
      </c>
      <c r="K18" s="43"/>
      <c r="L18" s="43"/>
      <c r="M18" s="43"/>
      <c r="N18" s="44"/>
    </row>
    <row r="19" customFormat="false" ht="60" hidden="false" customHeight="true" outlineLevel="0" collapsed="false">
      <c r="A19" s="13" t="n">
        <v>3</v>
      </c>
      <c r="B19" s="12" t="s">
        <v>699</v>
      </c>
      <c r="C19" s="33" t="s">
        <v>689</v>
      </c>
      <c r="D19" s="34" t="s">
        <v>159</v>
      </c>
      <c r="E19" s="46" t="s">
        <v>81</v>
      </c>
      <c r="F19" s="36" t="s">
        <v>700</v>
      </c>
      <c r="G19" s="34" t="s">
        <v>13</v>
      </c>
      <c r="H19" s="37" t="s">
        <v>701</v>
      </c>
      <c r="I19" s="37" t="s">
        <v>702</v>
      </c>
      <c r="J19" s="37" t="s">
        <v>703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4</v>
      </c>
      <c r="B20" s="18" t="s">
        <v>704</v>
      </c>
      <c r="C20" s="39" t="s">
        <v>689</v>
      </c>
      <c r="D20" s="40" t="s">
        <v>87</v>
      </c>
      <c r="E20" s="45" t="s">
        <v>81</v>
      </c>
      <c r="F20" s="42" t="s">
        <v>705</v>
      </c>
      <c r="G20" s="40" t="s">
        <v>13</v>
      </c>
      <c r="H20" s="43" t="s">
        <v>706</v>
      </c>
      <c r="I20" s="43" t="s">
        <v>707</v>
      </c>
      <c r="J20" s="43" t="s">
        <v>708</v>
      </c>
      <c r="K20" s="43"/>
      <c r="L20" s="43"/>
      <c r="M20" s="43"/>
      <c r="N20" s="44"/>
    </row>
    <row r="21" customFormat="false" ht="60" hidden="false" customHeight="true" outlineLevel="0" collapsed="false">
      <c r="A21" s="13" t="n">
        <v>5</v>
      </c>
      <c r="B21" s="12" t="s">
        <v>709</v>
      </c>
      <c r="C21" s="33" t="s">
        <v>689</v>
      </c>
      <c r="D21" s="34" t="s">
        <v>87</v>
      </c>
      <c r="E21" s="34" t="s">
        <v>125</v>
      </c>
      <c r="F21" s="36" t="s">
        <v>710</v>
      </c>
      <c r="G21" s="34" t="s">
        <v>13</v>
      </c>
      <c r="H21" s="37" t="s">
        <v>711</v>
      </c>
      <c r="I21" s="37" t="s">
        <v>712</v>
      </c>
      <c r="J21" s="37" t="s">
        <v>713</v>
      </c>
      <c r="K21" s="37"/>
      <c r="L21" s="37"/>
      <c r="M21" s="37"/>
      <c r="N21" s="38"/>
    </row>
  </sheetData>
  <mergeCells count="5">
    <mergeCell ref="A2:N2"/>
    <mergeCell ref="A3:N3"/>
    <mergeCell ref="A5:N5"/>
    <mergeCell ref="A10:N10"/>
    <mergeCell ref="A16:N16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1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1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1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714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715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716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717</v>
      </c>
      <c r="C6" s="33" t="s">
        <v>718</v>
      </c>
      <c r="D6" s="34" t="s">
        <v>87</v>
      </c>
      <c r="E6" s="35" t="s">
        <v>65</v>
      </c>
      <c r="F6" s="36" t="s">
        <v>719</v>
      </c>
      <c r="G6" s="34" t="s">
        <v>13</v>
      </c>
      <c r="H6" s="37" t="s">
        <v>720</v>
      </c>
      <c r="I6" s="37" t="s">
        <v>721</v>
      </c>
      <c r="J6" s="37" t="s">
        <v>722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723</v>
      </c>
      <c r="C7" s="39" t="s">
        <v>718</v>
      </c>
      <c r="D7" s="40" t="s">
        <v>87</v>
      </c>
      <c r="E7" s="41" t="s">
        <v>65</v>
      </c>
      <c r="F7" s="42" t="s">
        <v>724</v>
      </c>
      <c r="G7" s="40" t="s">
        <v>13</v>
      </c>
      <c r="H7" s="43" t="s">
        <v>725</v>
      </c>
      <c r="I7" s="43" t="s">
        <v>726</v>
      </c>
      <c r="J7" s="43" t="s">
        <v>727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728</v>
      </c>
      <c r="C8" s="33" t="s">
        <v>718</v>
      </c>
      <c r="D8" s="34" t="s">
        <v>87</v>
      </c>
      <c r="E8" s="46" t="s">
        <v>81</v>
      </c>
      <c r="F8" s="36" t="s">
        <v>729</v>
      </c>
      <c r="G8" s="34" t="s">
        <v>13</v>
      </c>
      <c r="H8" s="37" t="s">
        <v>730</v>
      </c>
      <c r="I8" s="37" t="s">
        <v>731</v>
      </c>
      <c r="J8" s="37" t="s">
        <v>732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733</v>
      </c>
      <c r="C9" s="39" t="s">
        <v>718</v>
      </c>
      <c r="D9" s="40" t="s">
        <v>87</v>
      </c>
      <c r="E9" s="45" t="s">
        <v>81</v>
      </c>
      <c r="F9" s="42" t="s">
        <v>734</v>
      </c>
      <c r="G9" s="40" t="s">
        <v>13</v>
      </c>
      <c r="H9" s="43" t="s">
        <v>735</v>
      </c>
      <c r="I9" s="43" t="s">
        <v>736</v>
      </c>
      <c r="J9" s="43" t="s">
        <v>737</v>
      </c>
      <c r="K9" s="43"/>
      <c r="L9" s="43"/>
      <c r="M9" s="43"/>
      <c r="N9" s="44"/>
    </row>
    <row r="10" customFormat="false" ht="60" hidden="false" customHeight="true" outlineLevel="0" collapsed="false">
      <c r="A10" s="13" t="n">
        <v>5</v>
      </c>
      <c r="B10" s="12" t="s">
        <v>738</v>
      </c>
      <c r="C10" s="33" t="s">
        <v>718</v>
      </c>
      <c r="D10" s="34" t="s">
        <v>87</v>
      </c>
      <c r="E10" s="46" t="s">
        <v>81</v>
      </c>
      <c r="F10" s="36" t="s">
        <v>739</v>
      </c>
      <c r="G10" s="34" t="s">
        <v>13</v>
      </c>
      <c r="H10" s="37" t="s">
        <v>740</v>
      </c>
      <c r="I10" s="37" t="s">
        <v>741</v>
      </c>
      <c r="J10" s="37" t="s">
        <v>742</v>
      </c>
      <c r="K10" s="37"/>
      <c r="L10" s="37"/>
      <c r="M10" s="37"/>
      <c r="N10" s="38"/>
    </row>
    <row r="11" customFormat="false" ht="15.75" hidden="false" customHeight="true" outlineLevel="0" collapsed="false">
      <c r="A11" s="32" t="s">
        <v>743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customFormat="false" ht="60" hidden="false" customHeight="true" outlineLevel="0" collapsed="false">
      <c r="A12" s="13" t="n">
        <v>1</v>
      </c>
      <c r="B12" s="12" t="s">
        <v>744</v>
      </c>
      <c r="C12" s="33" t="s">
        <v>745</v>
      </c>
      <c r="D12" s="34" t="s">
        <v>87</v>
      </c>
      <c r="E12" s="35" t="s">
        <v>65</v>
      </c>
      <c r="F12" s="36" t="s">
        <v>746</v>
      </c>
      <c r="G12" s="34" t="s">
        <v>13</v>
      </c>
      <c r="H12" s="37" t="s">
        <v>747</v>
      </c>
      <c r="I12" s="37" t="s">
        <v>748</v>
      </c>
      <c r="J12" s="37" t="s">
        <v>749</v>
      </c>
      <c r="K12" s="37"/>
      <c r="L12" s="37"/>
      <c r="M12" s="37"/>
      <c r="N12" s="38"/>
    </row>
    <row r="13" customFormat="false" ht="60" hidden="false" customHeight="true" outlineLevel="0" collapsed="false">
      <c r="A13" s="20" t="n">
        <v>2</v>
      </c>
      <c r="B13" s="18" t="s">
        <v>750</v>
      </c>
      <c r="C13" s="39" t="s">
        <v>745</v>
      </c>
      <c r="D13" s="40" t="s">
        <v>87</v>
      </c>
      <c r="E13" s="45" t="s">
        <v>81</v>
      </c>
      <c r="F13" s="42" t="s">
        <v>751</v>
      </c>
      <c r="G13" s="40" t="s">
        <v>13</v>
      </c>
      <c r="H13" s="43" t="s">
        <v>752</v>
      </c>
      <c r="I13" s="43" t="s">
        <v>753</v>
      </c>
      <c r="J13" s="43" t="s">
        <v>754</v>
      </c>
      <c r="K13" s="43"/>
      <c r="L13" s="43"/>
      <c r="M13" s="43"/>
      <c r="N13" s="44"/>
    </row>
    <row r="14" customFormat="false" ht="60" hidden="false" customHeight="true" outlineLevel="0" collapsed="false">
      <c r="A14" s="13" t="n">
        <v>3</v>
      </c>
      <c r="B14" s="12" t="s">
        <v>755</v>
      </c>
      <c r="C14" s="33" t="s">
        <v>745</v>
      </c>
      <c r="D14" s="34" t="s">
        <v>87</v>
      </c>
      <c r="E14" s="46" t="s">
        <v>81</v>
      </c>
      <c r="F14" s="36" t="s">
        <v>756</v>
      </c>
      <c r="G14" s="34" t="s">
        <v>13</v>
      </c>
      <c r="H14" s="37" t="s">
        <v>757</v>
      </c>
      <c r="I14" s="37" t="s">
        <v>758</v>
      </c>
      <c r="J14" s="37" t="s">
        <v>759</v>
      </c>
      <c r="K14" s="37"/>
      <c r="L14" s="37"/>
      <c r="M14" s="37"/>
      <c r="N14" s="38"/>
    </row>
    <row r="15" customFormat="false" ht="60" hidden="false" customHeight="true" outlineLevel="0" collapsed="false">
      <c r="A15" s="20" t="n">
        <v>4</v>
      </c>
      <c r="B15" s="18" t="s">
        <v>760</v>
      </c>
      <c r="C15" s="39" t="s">
        <v>745</v>
      </c>
      <c r="D15" s="40" t="s">
        <v>87</v>
      </c>
      <c r="E15" s="40" t="s">
        <v>125</v>
      </c>
      <c r="F15" s="42" t="s">
        <v>761</v>
      </c>
      <c r="G15" s="40" t="s">
        <v>13</v>
      </c>
      <c r="H15" s="43" t="s">
        <v>762</v>
      </c>
      <c r="I15" s="43" t="s">
        <v>763</v>
      </c>
      <c r="J15" s="43" t="s">
        <v>764</v>
      </c>
      <c r="K15" s="43"/>
      <c r="L15" s="43"/>
      <c r="M15" s="43"/>
      <c r="N15" s="44"/>
    </row>
    <row r="16" customFormat="false" ht="15.75" hidden="false" customHeight="true" outlineLevel="0" collapsed="false">
      <c r="A16" s="32" t="s">
        <v>765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60" hidden="false" customHeight="true" outlineLevel="0" collapsed="false">
      <c r="A17" s="13" t="n">
        <v>1</v>
      </c>
      <c r="B17" s="12" t="s">
        <v>766</v>
      </c>
      <c r="C17" s="33" t="s">
        <v>767</v>
      </c>
      <c r="D17" s="34" t="s">
        <v>159</v>
      </c>
      <c r="E17" s="35" t="s">
        <v>65</v>
      </c>
      <c r="F17" s="36" t="s">
        <v>768</v>
      </c>
      <c r="G17" s="34" t="s">
        <v>13</v>
      </c>
      <c r="H17" s="37" t="s">
        <v>769</v>
      </c>
      <c r="I17" s="37" t="s">
        <v>770</v>
      </c>
      <c r="J17" s="37" t="s">
        <v>771</v>
      </c>
      <c r="K17" s="37"/>
      <c r="L17" s="37"/>
      <c r="M17" s="37"/>
      <c r="N17" s="38"/>
    </row>
    <row r="18" customFormat="false" ht="60" hidden="false" customHeight="true" outlineLevel="0" collapsed="false">
      <c r="A18" s="20" t="n">
        <v>2</v>
      </c>
      <c r="B18" s="18" t="s">
        <v>772</v>
      </c>
      <c r="C18" s="39" t="s">
        <v>767</v>
      </c>
      <c r="D18" s="40" t="s">
        <v>159</v>
      </c>
      <c r="E18" s="45" t="s">
        <v>81</v>
      </c>
      <c r="F18" s="42" t="s">
        <v>773</v>
      </c>
      <c r="G18" s="40" t="s">
        <v>13</v>
      </c>
      <c r="H18" s="43" t="s">
        <v>774</v>
      </c>
      <c r="I18" s="43" t="s">
        <v>775</v>
      </c>
      <c r="J18" s="43" t="s">
        <v>776</v>
      </c>
      <c r="K18" s="43"/>
      <c r="L18" s="43"/>
      <c r="M18" s="43"/>
      <c r="N18" s="44"/>
    </row>
    <row r="19" customFormat="false" ht="60" hidden="false" customHeight="true" outlineLevel="0" collapsed="false">
      <c r="A19" s="13" t="n">
        <v>3</v>
      </c>
      <c r="B19" s="12" t="s">
        <v>777</v>
      </c>
      <c r="C19" s="33" t="s">
        <v>767</v>
      </c>
      <c r="D19" s="34" t="s">
        <v>87</v>
      </c>
      <c r="E19" s="46" t="s">
        <v>81</v>
      </c>
      <c r="F19" s="36" t="s">
        <v>778</v>
      </c>
      <c r="G19" s="34" t="s">
        <v>13</v>
      </c>
      <c r="H19" s="37" t="s">
        <v>779</v>
      </c>
      <c r="I19" s="37" t="s">
        <v>780</v>
      </c>
      <c r="J19" s="37" t="s">
        <v>781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4</v>
      </c>
      <c r="B20" s="18" t="s">
        <v>782</v>
      </c>
      <c r="C20" s="39" t="s">
        <v>767</v>
      </c>
      <c r="D20" s="40" t="s">
        <v>87</v>
      </c>
      <c r="E20" s="40" t="s">
        <v>125</v>
      </c>
      <c r="F20" s="42" t="s">
        <v>783</v>
      </c>
      <c r="G20" s="40" t="s">
        <v>13</v>
      </c>
      <c r="H20" s="43" t="s">
        <v>784</v>
      </c>
      <c r="I20" s="43" t="s">
        <v>785</v>
      </c>
      <c r="J20" s="43" t="s">
        <v>786</v>
      </c>
      <c r="K20" s="43"/>
      <c r="L20" s="43"/>
      <c r="M20" s="43"/>
      <c r="N20" s="44"/>
    </row>
    <row r="21" customFormat="false" ht="15.75" hidden="false" customHeight="true" outlineLevel="0" collapsed="false">
      <c r="A21" s="32" t="s">
        <v>787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customFormat="false" ht="60" hidden="false" customHeight="true" outlineLevel="0" collapsed="false">
      <c r="A22" s="13" t="n">
        <v>1</v>
      </c>
      <c r="B22" s="12" t="s">
        <v>788</v>
      </c>
      <c r="C22" s="33" t="s">
        <v>789</v>
      </c>
      <c r="D22" s="34" t="s">
        <v>159</v>
      </c>
      <c r="E22" s="46" t="s">
        <v>81</v>
      </c>
      <c r="F22" s="36" t="s">
        <v>790</v>
      </c>
      <c r="G22" s="34" t="s">
        <v>13</v>
      </c>
      <c r="H22" s="37" t="s">
        <v>791</v>
      </c>
      <c r="I22" s="37" t="s">
        <v>792</v>
      </c>
      <c r="J22" s="37" t="s">
        <v>793</v>
      </c>
      <c r="K22" s="37"/>
      <c r="L22" s="37"/>
      <c r="M22" s="37"/>
      <c r="N22" s="38"/>
    </row>
    <row r="23" customFormat="false" ht="60" hidden="false" customHeight="true" outlineLevel="0" collapsed="false">
      <c r="A23" s="20" t="n">
        <v>2</v>
      </c>
      <c r="B23" s="18" t="s">
        <v>794</v>
      </c>
      <c r="C23" s="39" t="s">
        <v>789</v>
      </c>
      <c r="D23" s="40" t="s">
        <v>159</v>
      </c>
      <c r="E23" s="45" t="s">
        <v>81</v>
      </c>
      <c r="F23" s="42" t="s">
        <v>795</v>
      </c>
      <c r="G23" s="40" t="s">
        <v>13</v>
      </c>
      <c r="H23" s="43" t="s">
        <v>796</v>
      </c>
      <c r="I23" s="43" t="s">
        <v>797</v>
      </c>
      <c r="J23" s="43" t="s">
        <v>798</v>
      </c>
      <c r="K23" s="43"/>
      <c r="L23" s="43"/>
      <c r="M23" s="43"/>
      <c r="N23" s="44"/>
    </row>
    <row r="24" customFormat="false" ht="60" hidden="false" customHeight="true" outlineLevel="0" collapsed="false">
      <c r="A24" s="13" t="n">
        <v>3</v>
      </c>
      <c r="B24" s="12" t="s">
        <v>799</v>
      </c>
      <c r="C24" s="33" t="s">
        <v>789</v>
      </c>
      <c r="D24" s="34" t="s">
        <v>159</v>
      </c>
      <c r="E24" s="34" t="s">
        <v>125</v>
      </c>
      <c r="F24" s="36" t="s">
        <v>800</v>
      </c>
      <c r="G24" s="34" t="s">
        <v>13</v>
      </c>
      <c r="H24" s="37" t="s">
        <v>801</v>
      </c>
      <c r="I24" s="37" t="s">
        <v>802</v>
      </c>
      <c r="J24" s="37" t="s">
        <v>803</v>
      </c>
      <c r="K24" s="37"/>
      <c r="L24" s="37"/>
      <c r="M24" s="37"/>
      <c r="N24" s="38"/>
    </row>
  </sheetData>
  <mergeCells count="6">
    <mergeCell ref="A2:N2"/>
    <mergeCell ref="A3:N3"/>
    <mergeCell ref="A5:N5"/>
    <mergeCell ref="A11:N11"/>
    <mergeCell ref="A16:N16"/>
    <mergeCell ref="A21:N21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24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24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24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38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48"/>
    <col collapsed="false" customWidth="true" hidden="false" outlineLevel="0" max="10" min="10" style="0" width="38"/>
    <col collapsed="false" customWidth="true" hidden="false" outlineLevel="0" max="11" min="11" style="0" width="3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804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8" hidden="false" customHeight="true" outlineLevel="0" collapsed="false">
      <c r="A3" s="30" t="s">
        <v>805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9.5" hidden="false" customHeight="true" outlineLevel="0" collapsed="false">
      <c r="A4" s="31" t="s">
        <v>48</v>
      </c>
      <c r="B4" s="31" t="s">
        <v>49</v>
      </c>
      <c r="C4" s="31" t="s">
        <v>50</v>
      </c>
      <c r="D4" s="31" t="s">
        <v>51</v>
      </c>
      <c r="E4" s="31" t="s">
        <v>52</v>
      </c>
      <c r="F4" s="31" t="s">
        <v>53</v>
      </c>
      <c r="G4" s="31" t="s">
        <v>26</v>
      </c>
      <c r="H4" s="31" t="s">
        <v>54</v>
      </c>
      <c r="I4" s="31" t="s">
        <v>55</v>
      </c>
      <c r="J4" s="31" t="s">
        <v>56</v>
      </c>
      <c r="K4" s="31" t="s">
        <v>57</v>
      </c>
      <c r="L4" s="31" t="s">
        <v>58</v>
      </c>
      <c r="M4" s="31" t="s">
        <v>59</v>
      </c>
      <c r="N4" s="31" t="s">
        <v>60</v>
      </c>
    </row>
    <row r="5" customFormat="false" ht="15.75" hidden="false" customHeight="true" outlineLevel="0" collapsed="false">
      <c r="A5" s="32" t="s">
        <v>806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customFormat="false" ht="60" hidden="false" customHeight="true" outlineLevel="0" collapsed="false">
      <c r="A6" s="13" t="n">
        <v>1</v>
      </c>
      <c r="B6" s="12" t="s">
        <v>807</v>
      </c>
      <c r="C6" s="33" t="s">
        <v>808</v>
      </c>
      <c r="D6" s="34" t="s">
        <v>159</v>
      </c>
      <c r="E6" s="35" t="s">
        <v>65</v>
      </c>
      <c r="F6" s="36" t="s">
        <v>809</v>
      </c>
      <c r="G6" s="34" t="s">
        <v>13</v>
      </c>
      <c r="H6" s="37" t="s">
        <v>810</v>
      </c>
      <c r="I6" s="37" t="s">
        <v>811</v>
      </c>
      <c r="J6" s="37" t="s">
        <v>812</v>
      </c>
      <c r="K6" s="37"/>
      <c r="L6" s="37"/>
      <c r="M6" s="37"/>
      <c r="N6" s="38"/>
    </row>
    <row r="7" customFormat="false" ht="60" hidden="false" customHeight="true" outlineLevel="0" collapsed="false">
      <c r="A7" s="20" t="n">
        <v>2</v>
      </c>
      <c r="B7" s="18" t="s">
        <v>813</v>
      </c>
      <c r="C7" s="39" t="s">
        <v>808</v>
      </c>
      <c r="D7" s="40" t="s">
        <v>159</v>
      </c>
      <c r="E7" s="41" t="s">
        <v>65</v>
      </c>
      <c r="F7" s="42" t="s">
        <v>814</v>
      </c>
      <c r="G7" s="40" t="s">
        <v>13</v>
      </c>
      <c r="H7" s="43" t="s">
        <v>815</v>
      </c>
      <c r="I7" s="43" t="s">
        <v>816</v>
      </c>
      <c r="J7" s="43" t="s">
        <v>817</v>
      </c>
      <c r="K7" s="43"/>
      <c r="L7" s="43"/>
      <c r="M7" s="43"/>
      <c r="N7" s="44"/>
    </row>
    <row r="8" customFormat="false" ht="60" hidden="false" customHeight="true" outlineLevel="0" collapsed="false">
      <c r="A8" s="13" t="n">
        <v>3</v>
      </c>
      <c r="B8" s="12" t="s">
        <v>818</v>
      </c>
      <c r="C8" s="33" t="s">
        <v>808</v>
      </c>
      <c r="D8" s="34" t="s">
        <v>159</v>
      </c>
      <c r="E8" s="35" t="s">
        <v>65</v>
      </c>
      <c r="F8" s="36" t="s">
        <v>819</v>
      </c>
      <c r="G8" s="34" t="s">
        <v>13</v>
      </c>
      <c r="H8" s="37" t="s">
        <v>815</v>
      </c>
      <c r="I8" s="37" t="s">
        <v>820</v>
      </c>
      <c r="J8" s="37" t="s">
        <v>821</v>
      </c>
      <c r="K8" s="37"/>
      <c r="L8" s="37"/>
      <c r="M8" s="37"/>
      <c r="N8" s="38"/>
    </row>
    <row r="9" customFormat="false" ht="60" hidden="false" customHeight="true" outlineLevel="0" collapsed="false">
      <c r="A9" s="20" t="n">
        <v>4</v>
      </c>
      <c r="B9" s="18" t="s">
        <v>822</v>
      </c>
      <c r="C9" s="39" t="s">
        <v>808</v>
      </c>
      <c r="D9" s="40" t="s">
        <v>159</v>
      </c>
      <c r="E9" s="41" t="s">
        <v>65</v>
      </c>
      <c r="F9" s="42" t="s">
        <v>823</v>
      </c>
      <c r="G9" s="40" t="s">
        <v>13</v>
      </c>
      <c r="H9" s="43" t="s">
        <v>815</v>
      </c>
      <c r="I9" s="43" t="s">
        <v>824</v>
      </c>
      <c r="J9" s="43" t="s">
        <v>825</v>
      </c>
      <c r="K9" s="43"/>
      <c r="L9" s="43"/>
      <c r="M9" s="43"/>
      <c r="N9" s="44"/>
    </row>
    <row r="10" customFormat="false" ht="60" hidden="false" customHeight="true" outlineLevel="0" collapsed="false">
      <c r="A10" s="13" t="n">
        <v>5</v>
      </c>
      <c r="B10" s="12" t="s">
        <v>826</v>
      </c>
      <c r="C10" s="33" t="s">
        <v>808</v>
      </c>
      <c r="D10" s="34" t="s">
        <v>159</v>
      </c>
      <c r="E10" s="35" t="s">
        <v>65</v>
      </c>
      <c r="F10" s="36" t="s">
        <v>827</v>
      </c>
      <c r="G10" s="34" t="s">
        <v>13</v>
      </c>
      <c r="H10" s="37" t="s">
        <v>815</v>
      </c>
      <c r="I10" s="37" t="s">
        <v>828</v>
      </c>
      <c r="J10" s="37" t="s">
        <v>829</v>
      </c>
      <c r="K10" s="37"/>
      <c r="L10" s="37"/>
      <c r="M10" s="37"/>
      <c r="N10" s="38"/>
    </row>
    <row r="11" customFormat="false" ht="60" hidden="false" customHeight="true" outlineLevel="0" collapsed="false">
      <c r="A11" s="20" t="n">
        <v>6</v>
      </c>
      <c r="B11" s="18" t="s">
        <v>830</v>
      </c>
      <c r="C11" s="39" t="s">
        <v>808</v>
      </c>
      <c r="D11" s="40" t="s">
        <v>159</v>
      </c>
      <c r="E11" s="41" t="s">
        <v>65</v>
      </c>
      <c r="F11" s="42" t="s">
        <v>831</v>
      </c>
      <c r="G11" s="40" t="s">
        <v>13</v>
      </c>
      <c r="H11" s="43" t="s">
        <v>815</v>
      </c>
      <c r="I11" s="43" t="s">
        <v>832</v>
      </c>
      <c r="J11" s="43" t="s">
        <v>833</v>
      </c>
      <c r="K11" s="43"/>
      <c r="L11" s="43"/>
      <c r="M11" s="43"/>
      <c r="N11" s="44"/>
    </row>
    <row r="12" customFormat="false" ht="60" hidden="false" customHeight="true" outlineLevel="0" collapsed="false">
      <c r="A12" s="13" t="n">
        <v>7</v>
      </c>
      <c r="B12" s="12" t="s">
        <v>834</v>
      </c>
      <c r="C12" s="33" t="s">
        <v>808</v>
      </c>
      <c r="D12" s="34" t="s">
        <v>159</v>
      </c>
      <c r="E12" s="35" t="s">
        <v>65</v>
      </c>
      <c r="F12" s="36" t="s">
        <v>835</v>
      </c>
      <c r="G12" s="34" t="s">
        <v>13</v>
      </c>
      <c r="H12" s="37" t="s">
        <v>815</v>
      </c>
      <c r="I12" s="37" t="s">
        <v>836</v>
      </c>
      <c r="J12" s="37" t="s">
        <v>837</v>
      </c>
      <c r="K12" s="37"/>
      <c r="L12" s="37"/>
      <c r="M12" s="37"/>
      <c r="N12" s="38"/>
    </row>
    <row r="13" customFormat="false" ht="60" hidden="false" customHeight="true" outlineLevel="0" collapsed="false">
      <c r="A13" s="20" t="n">
        <v>8</v>
      </c>
      <c r="B13" s="18" t="s">
        <v>838</v>
      </c>
      <c r="C13" s="39" t="s">
        <v>808</v>
      </c>
      <c r="D13" s="40" t="s">
        <v>159</v>
      </c>
      <c r="E13" s="41" t="s">
        <v>65</v>
      </c>
      <c r="F13" s="42" t="s">
        <v>839</v>
      </c>
      <c r="G13" s="40" t="s">
        <v>13</v>
      </c>
      <c r="H13" s="43" t="s">
        <v>815</v>
      </c>
      <c r="I13" s="43" t="s">
        <v>840</v>
      </c>
      <c r="J13" s="43" t="s">
        <v>841</v>
      </c>
      <c r="K13" s="43"/>
      <c r="L13" s="43"/>
      <c r="M13" s="43"/>
      <c r="N13" s="44"/>
    </row>
    <row r="14" customFormat="false" ht="60" hidden="false" customHeight="true" outlineLevel="0" collapsed="false">
      <c r="A14" s="13" t="n">
        <v>9</v>
      </c>
      <c r="B14" s="12" t="s">
        <v>842</v>
      </c>
      <c r="C14" s="33" t="s">
        <v>808</v>
      </c>
      <c r="D14" s="34" t="s">
        <v>159</v>
      </c>
      <c r="E14" s="35" t="s">
        <v>65</v>
      </c>
      <c r="F14" s="36" t="s">
        <v>843</v>
      </c>
      <c r="G14" s="34" t="s">
        <v>13</v>
      </c>
      <c r="H14" s="37" t="s">
        <v>844</v>
      </c>
      <c r="I14" s="37" t="s">
        <v>845</v>
      </c>
      <c r="J14" s="37" t="s">
        <v>846</v>
      </c>
      <c r="K14" s="37"/>
      <c r="L14" s="37"/>
      <c r="M14" s="37"/>
      <c r="N14" s="38"/>
    </row>
    <row r="15" customFormat="false" ht="60" hidden="false" customHeight="true" outlineLevel="0" collapsed="false">
      <c r="A15" s="20" t="n">
        <v>10</v>
      </c>
      <c r="B15" s="18" t="s">
        <v>847</v>
      </c>
      <c r="C15" s="39" t="s">
        <v>808</v>
      </c>
      <c r="D15" s="40" t="s">
        <v>159</v>
      </c>
      <c r="E15" s="41" t="s">
        <v>65</v>
      </c>
      <c r="F15" s="42" t="s">
        <v>848</v>
      </c>
      <c r="G15" s="40" t="s">
        <v>13</v>
      </c>
      <c r="H15" s="43" t="s">
        <v>815</v>
      </c>
      <c r="I15" s="43" t="s">
        <v>849</v>
      </c>
      <c r="J15" s="43" t="s">
        <v>850</v>
      </c>
      <c r="K15" s="43"/>
      <c r="L15" s="43"/>
      <c r="M15" s="43"/>
      <c r="N15" s="44"/>
    </row>
    <row r="16" customFormat="false" ht="15.75" hidden="false" customHeight="true" outlineLevel="0" collapsed="false">
      <c r="A16" s="32" t="s">
        <v>851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60" hidden="false" customHeight="true" outlineLevel="0" collapsed="false">
      <c r="A17" s="13" t="n">
        <v>1</v>
      </c>
      <c r="B17" s="12" t="s">
        <v>852</v>
      </c>
      <c r="C17" s="33" t="s">
        <v>853</v>
      </c>
      <c r="D17" s="34" t="s">
        <v>672</v>
      </c>
      <c r="E17" s="35" t="s">
        <v>65</v>
      </c>
      <c r="F17" s="36" t="s">
        <v>854</v>
      </c>
      <c r="G17" s="34" t="s">
        <v>13</v>
      </c>
      <c r="H17" s="37" t="s">
        <v>855</v>
      </c>
      <c r="I17" s="37" t="s">
        <v>856</v>
      </c>
      <c r="J17" s="37" t="s">
        <v>857</v>
      </c>
      <c r="K17" s="37"/>
      <c r="L17" s="37"/>
      <c r="M17" s="37"/>
      <c r="N17" s="38"/>
    </row>
    <row r="18" customFormat="false" ht="60" hidden="false" customHeight="true" outlineLevel="0" collapsed="false">
      <c r="A18" s="20" t="n">
        <v>2</v>
      </c>
      <c r="B18" s="18" t="s">
        <v>858</v>
      </c>
      <c r="C18" s="39" t="s">
        <v>853</v>
      </c>
      <c r="D18" s="40" t="s">
        <v>672</v>
      </c>
      <c r="E18" s="41" t="s">
        <v>65</v>
      </c>
      <c r="F18" s="42" t="s">
        <v>859</v>
      </c>
      <c r="G18" s="40" t="s">
        <v>13</v>
      </c>
      <c r="H18" s="43" t="s">
        <v>860</v>
      </c>
      <c r="I18" s="43" t="s">
        <v>856</v>
      </c>
      <c r="J18" s="43" t="s">
        <v>861</v>
      </c>
      <c r="K18" s="43"/>
      <c r="L18" s="43"/>
      <c r="M18" s="43"/>
      <c r="N18" s="44"/>
    </row>
    <row r="19" customFormat="false" ht="60" hidden="false" customHeight="true" outlineLevel="0" collapsed="false">
      <c r="A19" s="13" t="n">
        <v>3</v>
      </c>
      <c r="B19" s="12" t="s">
        <v>862</v>
      </c>
      <c r="C19" s="33" t="s">
        <v>853</v>
      </c>
      <c r="D19" s="34" t="s">
        <v>672</v>
      </c>
      <c r="E19" s="35" t="s">
        <v>65</v>
      </c>
      <c r="F19" s="36" t="s">
        <v>863</v>
      </c>
      <c r="G19" s="34" t="s">
        <v>13</v>
      </c>
      <c r="H19" s="37" t="s">
        <v>860</v>
      </c>
      <c r="I19" s="37" t="s">
        <v>856</v>
      </c>
      <c r="J19" s="37" t="s">
        <v>864</v>
      </c>
      <c r="K19" s="37"/>
      <c r="L19" s="37"/>
      <c r="M19" s="37"/>
      <c r="N19" s="38"/>
    </row>
    <row r="20" customFormat="false" ht="60" hidden="false" customHeight="true" outlineLevel="0" collapsed="false">
      <c r="A20" s="20" t="n">
        <v>4</v>
      </c>
      <c r="B20" s="18" t="s">
        <v>865</v>
      </c>
      <c r="C20" s="39" t="s">
        <v>853</v>
      </c>
      <c r="D20" s="40" t="s">
        <v>672</v>
      </c>
      <c r="E20" s="45" t="s">
        <v>81</v>
      </c>
      <c r="F20" s="42" t="s">
        <v>866</v>
      </c>
      <c r="G20" s="40" t="s">
        <v>13</v>
      </c>
      <c r="H20" s="43" t="s">
        <v>867</v>
      </c>
      <c r="I20" s="43" t="s">
        <v>868</v>
      </c>
      <c r="J20" s="43" t="s">
        <v>869</v>
      </c>
      <c r="K20" s="43"/>
      <c r="L20" s="43"/>
      <c r="M20" s="43"/>
      <c r="N20" s="44"/>
    </row>
    <row r="21" customFormat="false" ht="60" hidden="false" customHeight="true" outlineLevel="0" collapsed="false">
      <c r="A21" s="13" t="n">
        <v>5</v>
      </c>
      <c r="B21" s="12" t="s">
        <v>870</v>
      </c>
      <c r="C21" s="33" t="s">
        <v>853</v>
      </c>
      <c r="D21" s="34" t="s">
        <v>672</v>
      </c>
      <c r="E21" s="46" t="s">
        <v>81</v>
      </c>
      <c r="F21" s="36" t="s">
        <v>871</v>
      </c>
      <c r="G21" s="34" t="s">
        <v>13</v>
      </c>
      <c r="H21" s="37" t="s">
        <v>872</v>
      </c>
      <c r="I21" s="37" t="s">
        <v>873</v>
      </c>
      <c r="J21" s="37" t="s">
        <v>874</v>
      </c>
      <c r="K21" s="37"/>
      <c r="L21" s="37"/>
      <c r="M21" s="37"/>
      <c r="N21" s="38"/>
    </row>
    <row r="22" customFormat="false" ht="15.75" hidden="false" customHeight="true" outlineLevel="0" collapsed="false">
      <c r="A22" s="32" t="s">
        <v>875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customFormat="false" ht="60" hidden="false" customHeight="true" outlineLevel="0" collapsed="false">
      <c r="A23" s="13" t="n">
        <v>1</v>
      </c>
      <c r="B23" s="12" t="s">
        <v>876</v>
      </c>
      <c r="C23" s="33" t="s">
        <v>877</v>
      </c>
      <c r="D23" s="34" t="s">
        <v>198</v>
      </c>
      <c r="E23" s="35" t="s">
        <v>65</v>
      </c>
      <c r="F23" s="36" t="s">
        <v>878</v>
      </c>
      <c r="G23" s="34" t="s">
        <v>13</v>
      </c>
      <c r="H23" s="37" t="s">
        <v>879</v>
      </c>
      <c r="I23" s="37" t="s">
        <v>880</v>
      </c>
      <c r="J23" s="37" t="s">
        <v>881</v>
      </c>
      <c r="K23" s="37"/>
      <c r="L23" s="37"/>
      <c r="M23" s="37"/>
      <c r="N23" s="38"/>
    </row>
    <row r="24" customFormat="false" ht="60" hidden="false" customHeight="true" outlineLevel="0" collapsed="false">
      <c r="A24" s="20" t="n">
        <v>2</v>
      </c>
      <c r="B24" s="18" t="s">
        <v>882</v>
      </c>
      <c r="C24" s="39" t="s">
        <v>877</v>
      </c>
      <c r="D24" s="40" t="s">
        <v>198</v>
      </c>
      <c r="E24" s="41" t="s">
        <v>65</v>
      </c>
      <c r="F24" s="42" t="s">
        <v>883</v>
      </c>
      <c r="G24" s="40" t="s">
        <v>13</v>
      </c>
      <c r="H24" s="43" t="s">
        <v>884</v>
      </c>
      <c r="I24" s="43" t="s">
        <v>885</v>
      </c>
      <c r="J24" s="43" t="s">
        <v>886</v>
      </c>
      <c r="K24" s="43"/>
      <c r="L24" s="43"/>
      <c r="M24" s="43"/>
      <c r="N24" s="44"/>
    </row>
    <row r="25" customFormat="false" ht="60" hidden="false" customHeight="true" outlineLevel="0" collapsed="false">
      <c r="A25" s="13" t="n">
        <v>3</v>
      </c>
      <c r="B25" s="12" t="s">
        <v>887</v>
      </c>
      <c r="C25" s="33" t="s">
        <v>877</v>
      </c>
      <c r="D25" s="34" t="s">
        <v>198</v>
      </c>
      <c r="E25" s="35" t="s">
        <v>65</v>
      </c>
      <c r="F25" s="36" t="s">
        <v>888</v>
      </c>
      <c r="G25" s="34" t="s">
        <v>13</v>
      </c>
      <c r="H25" s="37" t="s">
        <v>889</v>
      </c>
      <c r="I25" s="37" t="s">
        <v>890</v>
      </c>
      <c r="J25" s="37" t="s">
        <v>891</v>
      </c>
      <c r="K25" s="37"/>
      <c r="L25" s="37"/>
      <c r="M25" s="37"/>
      <c r="N25" s="38"/>
    </row>
    <row r="26" customFormat="false" ht="60" hidden="false" customHeight="true" outlineLevel="0" collapsed="false">
      <c r="A26" s="20" t="n">
        <v>4</v>
      </c>
      <c r="B26" s="18" t="s">
        <v>892</v>
      </c>
      <c r="C26" s="39" t="s">
        <v>877</v>
      </c>
      <c r="D26" s="40" t="s">
        <v>198</v>
      </c>
      <c r="E26" s="41" t="s">
        <v>65</v>
      </c>
      <c r="F26" s="42" t="s">
        <v>893</v>
      </c>
      <c r="G26" s="40" t="s">
        <v>13</v>
      </c>
      <c r="H26" s="43" t="s">
        <v>894</v>
      </c>
      <c r="I26" s="43" t="s">
        <v>895</v>
      </c>
      <c r="J26" s="43" t="s">
        <v>896</v>
      </c>
      <c r="K26" s="43"/>
      <c r="L26" s="43"/>
      <c r="M26" s="43"/>
      <c r="N26" s="44"/>
    </row>
    <row r="27" customFormat="false" ht="60" hidden="false" customHeight="true" outlineLevel="0" collapsed="false">
      <c r="A27" s="13" t="n">
        <v>5</v>
      </c>
      <c r="B27" s="12" t="s">
        <v>897</v>
      </c>
      <c r="C27" s="33" t="s">
        <v>877</v>
      </c>
      <c r="D27" s="34" t="s">
        <v>198</v>
      </c>
      <c r="E27" s="46" t="s">
        <v>81</v>
      </c>
      <c r="F27" s="36" t="s">
        <v>898</v>
      </c>
      <c r="G27" s="34" t="s">
        <v>13</v>
      </c>
      <c r="H27" s="37" t="s">
        <v>899</v>
      </c>
      <c r="I27" s="37" t="s">
        <v>900</v>
      </c>
      <c r="J27" s="37" t="s">
        <v>901</v>
      </c>
      <c r="K27" s="37"/>
      <c r="L27" s="37"/>
      <c r="M27" s="37"/>
      <c r="N27" s="38"/>
    </row>
    <row r="28" customFormat="false" ht="60" hidden="false" customHeight="true" outlineLevel="0" collapsed="false">
      <c r="A28" s="20" t="n">
        <v>6</v>
      </c>
      <c r="B28" s="18" t="s">
        <v>902</v>
      </c>
      <c r="C28" s="39" t="s">
        <v>877</v>
      </c>
      <c r="D28" s="40" t="s">
        <v>198</v>
      </c>
      <c r="E28" s="45" t="s">
        <v>81</v>
      </c>
      <c r="F28" s="42" t="s">
        <v>903</v>
      </c>
      <c r="G28" s="40" t="s">
        <v>13</v>
      </c>
      <c r="H28" s="43" t="s">
        <v>904</v>
      </c>
      <c r="I28" s="43" t="s">
        <v>905</v>
      </c>
      <c r="J28" s="43" t="s">
        <v>906</v>
      </c>
      <c r="K28" s="43"/>
      <c r="L28" s="43"/>
      <c r="M28" s="43"/>
      <c r="N28" s="44"/>
    </row>
    <row r="29" customFormat="false" ht="60" hidden="false" customHeight="true" outlineLevel="0" collapsed="false">
      <c r="A29" s="13" t="n">
        <v>7</v>
      </c>
      <c r="B29" s="12" t="s">
        <v>907</v>
      </c>
      <c r="C29" s="33" t="s">
        <v>877</v>
      </c>
      <c r="D29" s="34" t="s">
        <v>198</v>
      </c>
      <c r="E29" s="46" t="s">
        <v>81</v>
      </c>
      <c r="F29" s="36" t="s">
        <v>908</v>
      </c>
      <c r="G29" s="34" t="s">
        <v>13</v>
      </c>
      <c r="H29" s="37" t="s">
        <v>909</v>
      </c>
      <c r="I29" s="37" t="s">
        <v>910</v>
      </c>
      <c r="J29" s="37" t="s">
        <v>911</v>
      </c>
      <c r="K29" s="37"/>
      <c r="L29" s="37"/>
      <c r="M29" s="37"/>
      <c r="N29" s="38"/>
    </row>
    <row r="30" customFormat="false" ht="15.75" hidden="false" customHeight="true" outlineLevel="0" collapsed="false">
      <c r="A30" s="32" t="s">
        <v>912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customFormat="false" ht="60" hidden="false" customHeight="true" outlineLevel="0" collapsed="false">
      <c r="A31" s="13" t="n">
        <v>1</v>
      </c>
      <c r="B31" s="12" t="s">
        <v>913</v>
      </c>
      <c r="C31" s="33" t="s">
        <v>914</v>
      </c>
      <c r="D31" s="34" t="s">
        <v>915</v>
      </c>
      <c r="E31" s="35" t="s">
        <v>65</v>
      </c>
      <c r="F31" s="36" t="s">
        <v>916</v>
      </c>
      <c r="G31" s="34" t="s">
        <v>13</v>
      </c>
      <c r="H31" s="37" t="s">
        <v>917</v>
      </c>
      <c r="I31" s="37" t="s">
        <v>918</v>
      </c>
      <c r="J31" s="37" t="s">
        <v>919</v>
      </c>
      <c r="K31" s="37"/>
      <c r="L31" s="37"/>
      <c r="M31" s="37"/>
      <c r="N31" s="38"/>
    </row>
    <row r="32" customFormat="false" ht="60" hidden="false" customHeight="true" outlineLevel="0" collapsed="false">
      <c r="A32" s="20" t="n">
        <v>2</v>
      </c>
      <c r="B32" s="18" t="s">
        <v>920</v>
      </c>
      <c r="C32" s="39" t="s">
        <v>914</v>
      </c>
      <c r="D32" s="40" t="s">
        <v>915</v>
      </c>
      <c r="E32" s="41" t="s">
        <v>65</v>
      </c>
      <c r="F32" s="42" t="s">
        <v>921</v>
      </c>
      <c r="G32" s="40" t="s">
        <v>13</v>
      </c>
      <c r="H32" s="43"/>
      <c r="I32" s="43" t="s">
        <v>922</v>
      </c>
      <c r="J32" s="43" t="s">
        <v>923</v>
      </c>
      <c r="K32" s="43"/>
      <c r="L32" s="43"/>
      <c r="M32" s="43"/>
      <c r="N32" s="44"/>
    </row>
    <row r="33" customFormat="false" ht="60" hidden="false" customHeight="true" outlineLevel="0" collapsed="false">
      <c r="A33" s="13" t="n">
        <v>3</v>
      </c>
      <c r="B33" s="12" t="s">
        <v>924</v>
      </c>
      <c r="C33" s="33" t="s">
        <v>914</v>
      </c>
      <c r="D33" s="34" t="s">
        <v>915</v>
      </c>
      <c r="E33" s="35" t="s">
        <v>65</v>
      </c>
      <c r="F33" s="36" t="s">
        <v>925</v>
      </c>
      <c r="G33" s="34" t="s">
        <v>13</v>
      </c>
      <c r="H33" s="37"/>
      <c r="I33" s="37" t="s">
        <v>926</v>
      </c>
      <c r="J33" s="37" t="s">
        <v>927</v>
      </c>
      <c r="K33" s="37"/>
      <c r="L33" s="37"/>
      <c r="M33" s="37"/>
      <c r="N33" s="38"/>
    </row>
    <row r="34" customFormat="false" ht="60" hidden="false" customHeight="true" outlineLevel="0" collapsed="false">
      <c r="A34" s="20" t="n">
        <v>4</v>
      </c>
      <c r="B34" s="18" t="s">
        <v>928</v>
      </c>
      <c r="C34" s="39" t="s">
        <v>914</v>
      </c>
      <c r="D34" s="40" t="s">
        <v>915</v>
      </c>
      <c r="E34" s="41" t="s">
        <v>65</v>
      </c>
      <c r="F34" s="42" t="s">
        <v>929</v>
      </c>
      <c r="G34" s="40" t="s">
        <v>13</v>
      </c>
      <c r="H34" s="43"/>
      <c r="I34" s="43" t="s">
        <v>930</v>
      </c>
      <c r="J34" s="43" t="s">
        <v>931</v>
      </c>
      <c r="K34" s="43"/>
      <c r="L34" s="43"/>
      <c r="M34" s="43"/>
      <c r="N34" s="44"/>
    </row>
    <row r="35" customFormat="false" ht="60" hidden="false" customHeight="true" outlineLevel="0" collapsed="false">
      <c r="A35" s="13" t="n">
        <v>5</v>
      </c>
      <c r="B35" s="12" t="s">
        <v>932</v>
      </c>
      <c r="C35" s="33" t="s">
        <v>914</v>
      </c>
      <c r="D35" s="34" t="s">
        <v>915</v>
      </c>
      <c r="E35" s="35" t="s">
        <v>65</v>
      </c>
      <c r="F35" s="36" t="s">
        <v>933</v>
      </c>
      <c r="G35" s="34" t="s">
        <v>13</v>
      </c>
      <c r="H35" s="37"/>
      <c r="I35" s="37" t="s">
        <v>934</v>
      </c>
      <c r="J35" s="37" t="s">
        <v>935</v>
      </c>
      <c r="K35" s="37"/>
      <c r="L35" s="37"/>
      <c r="M35" s="37"/>
      <c r="N35" s="38"/>
    </row>
    <row r="36" customFormat="false" ht="60" hidden="false" customHeight="true" outlineLevel="0" collapsed="false">
      <c r="A36" s="20" t="n">
        <v>6</v>
      </c>
      <c r="B36" s="18" t="s">
        <v>936</v>
      </c>
      <c r="C36" s="39" t="s">
        <v>914</v>
      </c>
      <c r="D36" s="40" t="s">
        <v>915</v>
      </c>
      <c r="E36" s="41" t="s">
        <v>65</v>
      </c>
      <c r="F36" s="42" t="s">
        <v>937</v>
      </c>
      <c r="G36" s="40" t="s">
        <v>13</v>
      </c>
      <c r="H36" s="43"/>
      <c r="I36" s="43" t="s">
        <v>938</v>
      </c>
      <c r="J36" s="43" t="s">
        <v>939</v>
      </c>
      <c r="K36" s="43"/>
      <c r="L36" s="43"/>
      <c r="M36" s="43"/>
      <c r="N36" s="44"/>
    </row>
    <row r="37" customFormat="false" ht="60" hidden="false" customHeight="true" outlineLevel="0" collapsed="false">
      <c r="A37" s="13" t="n">
        <v>7</v>
      </c>
      <c r="B37" s="12" t="s">
        <v>940</v>
      </c>
      <c r="C37" s="33" t="s">
        <v>914</v>
      </c>
      <c r="D37" s="34" t="s">
        <v>915</v>
      </c>
      <c r="E37" s="35" t="s">
        <v>65</v>
      </c>
      <c r="F37" s="36" t="s">
        <v>941</v>
      </c>
      <c r="G37" s="34" t="s">
        <v>13</v>
      </c>
      <c r="H37" s="37"/>
      <c r="I37" s="37" t="s">
        <v>942</v>
      </c>
      <c r="J37" s="37" t="s">
        <v>943</v>
      </c>
      <c r="K37" s="37"/>
      <c r="L37" s="37"/>
      <c r="M37" s="37"/>
      <c r="N37" s="38"/>
    </row>
    <row r="38" customFormat="false" ht="60" hidden="false" customHeight="true" outlineLevel="0" collapsed="false">
      <c r="A38" s="20" t="n">
        <v>8</v>
      </c>
      <c r="B38" s="18" t="s">
        <v>944</v>
      </c>
      <c r="C38" s="39" t="s">
        <v>914</v>
      </c>
      <c r="D38" s="40" t="s">
        <v>915</v>
      </c>
      <c r="E38" s="41" t="s">
        <v>65</v>
      </c>
      <c r="F38" s="42" t="s">
        <v>945</v>
      </c>
      <c r="G38" s="40" t="s">
        <v>13</v>
      </c>
      <c r="H38" s="43"/>
      <c r="I38" s="43" t="s">
        <v>946</v>
      </c>
      <c r="J38" s="43" t="s">
        <v>947</v>
      </c>
      <c r="K38" s="43"/>
      <c r="L38" s="43"/>
      <c r="M38" s="43"/>
      <c r="N38" s="44"/>
    </row>
    <row r="39" customFormat="false" ht="60" hidden="false" customHeight="true" outlineLevel="0" collapsed="false">
      <c r="A39" s="13" t="n">
        <v>9</v>
      </c>
      <c r="B39" s="12" t="s">
        <v>948</v>
      </c>
      <c r="C39" s="33" t="s">
        <v>914</v>
      </c>
      <c r="D39" s="34" t="s">
        <v>915</v>
      </c>
      <c r="E39" s="35" t="s">
        <v>65</v>
      </c>
      <c r="F39" s="36" t="s">
        <v>949</v>
      </c>
      <c r="G39" s="34" t="s">
        <v>13</v>
      </c>
      <c r="H39" s="37"/>
      <c r="I39" s="37" t="s">
        <v>950</v>
      </c>
      <c r="J39" s="37" t="s">
        <v>951</v>
      </c>
      <c r="K39" s="37"/>
      <c r="L39" s="37"/>
      <c r="M39" s="37"/>
      <c r="N39" s="38"/>
    </row>
    <row r="40" customFormat="false" ht="60" hidden="false" customHeight="true" outlineLevel="0" collapsed="false">
      <c r="A40" s="20" t="n">
        <v>10</v>
      </c>
      <c r="B40" s="18" t="s">
        <v>952</v>
      </c>
      <c r="C40" s="39" t="s">
        <v>914</v>
      </c>
      <c r="D40" s="40" t="s">
        <v>915</v>
      </c>
      <c r="E40" s="41" t="s">
        <v>65</v>
      </c>
      <c r="F40" s="42" t="s">
        <v>953</v>
      </c>
      <c r="G40" s="40" t="s">
        <v>13</v>
      </c>
      <c r="H40" s="43"/>
      <c r="I40" s="43" t="s">
        <v>954</v>
      </c>
      <c r="J40" s="43" t="s">
        <v>955</v>
      </c>
      <c r="K40" s="43"/>
      <c r="L40" s="43"/>
      <c r="M40" s="43"/>
      <c r="N40" s="44"/>
    </row>
    <row r="41" customFormat="false" ht="60" hidden="false" customHeight="true" outlineLevel="0" collapsed="false">
      <c r="A41" s="13" t="n">
        <v>11</v>
      </c>
      <c r="B41" s="12" t="s">
        <v>956</v>
      </c>
      <c r="C41" s="33" t="s">
        <v>914</v>
      </c>
      <c r="D41" s="34" t="s">
        <v>915</v>
      </c>
      <c r="E41" s="35" t="s">
        <v>65</v>
      </c>
      <c r="F41" s="36" t="s">
        <v>957</v>
      </c>
      <c r="G41" s="34" t="s">
        <v>13</v>
      </c>
      <c r="H41" s="37"/>
      <c r="I41" s="37" t="s">
        <v>958</v>
      </c>
      <c r="J41" s="37" t="s">
        <v>959</v>
      </c>
      <c r="K41" s="37"/>
      <c r="L41" s="37"/>
      <c r="M41" s="37"/>
      <c r="N41" s="38"/>
    </row>
  </sheetData>
  <mergeCells count="6">
    <mergeCell ref="A2:N2"/>
    <mergeCell ref="A3:N3"/>
    <mergeCell ref="A5:N5"/>
    <mergeCell ref="A16:N16"/>
    <mergeCell ref="A22:N22"/>
    <mergeCell ref="A30:N30"/>
  </mergeCells>
  <conditionalFormatting sqref="G5:G2000">
    <cfRule type="cellIs" priority="2" operator="equal" aboveAverage="0" equalAverage="0" bottom="0" percent="0" rank="0" text="" dxfId="0">
      <formula>"✅ PASS"</formula>
    </cfRule>
    <cfRule type="cellIs" priority="3" operator="equal" aboveAverage="0" equalAverage="0" bottom="0" percent="0" rank="0" text="" dxfId="1">
      <formula>"❌ FAIL"</formula>
    </cfRule>
    <cfRule type="cellIs" priority="4" operator="equal" aboveAverage="0" equalAverage="0" bottom="0" percent="0" rank="0" text="" dxfId="2">
      <formula>"⏭️ SKIP"</formula>
    </cfRule>
  </conditionalFormatting>
  <dataValidations count="3">
    <dataValidation allowBlank="true" errorStyle="stop" operator="between" showDropDown="false" showErrorMessage="false" showInputMessage="false" sqref="G5:G1041" type="list">
      <formula1>"⬜ NOT RUN,✅ PASS,❌ FAIL,⏭️ SKIP,🔄 IN PROGRESS,🚫 BLOCKED"</formula1>
      <formula2>0</formula2>
    </dataValidation>
    <dataValidation allowBlank="true" errorStyle="stop" operator="between" showDropDown="false" showErrorMessage="false" showInputMessage="false" sqref="E5:E1041" type="list">
      <formula1>"P1-Critical,P2-High,P3-Medium,P4-Low"</formula1>
      <formula2>0</formula2>
    </dataValidation>
    <dataValidation allowBlank="true" errorStyle="stop" operator="between" showDropDown="false" showErrorMessage="false" showInputMessage="false" sqref="D5:D1041" type="list">
      <formula1>"Unit,Integration,E2E,API,Security,Performance,Manual"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8" min="7" style="0" width="30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29" t="s">
        <v>960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customFormat="false" ht="15" hidden="false" customHeight="false" outlineLevel="0" collapsed="false">
      <c r="A4" s="47" t="s">
        <v>961</v>
      </c>
      <c r="B4" s="47" t="s">
        <v>962</v>
      </c>
      <c r="C4" s="47" t="s">
        <v>19</v>
      </c>
      <c r="D4" s="47" t="s">
        <v>963</v>
      </c>
      <c r="E4" s="47" t="s">
        <v>964</v>
      </c>
      <c r="F4" s="47" t="s">
        <v>965</v>
      </c>
      <c r="G4" s="47" t="s">
        <v>966</v>
      </c>
      <c r="H4" s="47" t="s">
        <v>967</v>
      </c>
      <c r="I4" s="47" t="s">
        <v>968</v>
      </c>
      <c r="J4" s="47" t="s">
        <v>969</v>
      </c>
      <c r="K4" s="47" t="s">
        <v>26</v>
      </c>
      <c r="L4" s="47" t="s">
        <v>970</v>
      </c>
      <c r="M4" s="47" t="s">
        <v>971</v>
      </c>
    </row>
    <row r="5" customFormat="false" ht="18" hidden="false" customHeight="true" outlineLevel="0" collapsed="false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</row>
    <row r="6" customFormat="false" ht="18" hidden="false" customHeight="true" outlineLevel="0" collapsed="false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customFormat="false" ht="18" hidden="false" customHeight="true" outlineLevel="0" collapsed="false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</row>
    <row r="8" customFormat="false" ht="18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customFormat="false" ht="18" hidden="false" customHeight="true" outlineLevel="0" collapsed="false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customFormat="false" ht="18" hidden="false" customHeight="true" outlineLevel="0" collapsed="false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customFormat="false" ht="18" hidden="false" customHeight="true" outlineLevel="0" collapsed="false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customFormat="false" ht="18" hidden="false" customHeight="true" outlineLevel="0" collapsed="false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customFormat="false" ht="18" hidden="false" customHeight="true" outlineLevel="0" collapsed="false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customFormat="false" ht="18" hidden="false" customHeight="true" outlineLevel="0" collapsed="false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customFormat="false" ht="18" hidden="false" customHeight="true" outlineLevel="0" collapsed="false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customFormat="false" ht="18" hidden="false" customHeight="true" outlineLevel="0" collapsed="false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customFormat="false" ht="18" hidden="false" customHeight="true" outlineLevel="0" collapsed="false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</row>
    <row r="18" customFormat="false" ht="18" hidden="false" customHeight="true" outlineLevel="0" collapsed="false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customFormat="false" ht="18" hidden="false" customHeight="true" outlineLevel="0" collapsed="false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customFormat="false" ht="18" hidden="false" customHeight="true" outlineLevel="0" collapsed="false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customFormat="false" ht="18" hidden="false" customHeight="true" outlineLevel="0" collapsed="false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customFormat="false" ht="18" hidden="false" customHeight="true" outlineLevel="0" collapsed="false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customFormat="false" ht="18" hidden="false" customHeight="true" outlineLevel="0" collapsed="false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customFormat="false" ht="18" hidden="false" customHeight="true" outlineLevel="0" collapsed="false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customFormat="false" ht="18" hidden="false" customHeight="true" outlineLevel="0" collapsed="false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</row>
  </sheetData>
  <mergeCells count="1">
    <mergeCell ref="A2:M2"/>
  </mergeCells>
  <dataValidations count="2">
    <dataValidation allowBlank="true" errorStyle="stop" operator="between" showDropDown="false" showErrorMessage="false" showInputMessage="false" sqref="D5:D1025" type="list">
      <formula1>"S1-Critical,S2-High,S3-Medium,S4-Low"</formula1>
      <formula2>0</formula2>
    </dataValidation>
    <dataValidation allowBlank="true" errorStyle="stop" operator="between" showDropDown="false" showErrorMessage="false" showInputMessage="false" sqref="K5:K1025" type="list">
      <formula1>"Open,In Progress,Fixed,Verified,Closed,Won't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2026-05-23T07:20:36Z</dcterms:created>
  <dc:creator>openpyxl</dc:creator>
  <dc:description/>
  <dc:language>en-US</dc:language>
  <cp:lastModifiedBy/>
  <dcterms:modified xsi:type="dcterms:W3CDTF">2026-05-23T07:20:36Z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